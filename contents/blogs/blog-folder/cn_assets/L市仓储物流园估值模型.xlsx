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hdp/Desktop/CN_Asset/"/>
    </mc:Choice>
  </mc:AlternateContent>
  <xr:revisionPtr revIDLastSave="0" documentId="8_{050310AE-4762-8B43-A2BE-F25039E5B180}" xr6:coauthVersionLast="47" xr6:coauthVersionMax="47" xr10:uidLastSave="{00000000-0000-0000-0000-000000000000}"/>
  <bookViews>
    <workbookView xWindow="0" yWindow="860" windowWidth="38400" windowHeight="23020" xr2:uid="{00000000-000D-0000-FFFF-FFFF00000000}"/>
  </bookViews>
  <sheets>
    <sheet name="L市仓储物流园估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1" i="1" l="1"/>
  <c r="D29" i="1"/>
  <c r="C29" i="1"/>
  <c r="D21" i="1"/>
  <c r="D22" i="1" s="1"/>
  <c r="C21" i="1"/>
  <c r="C22" i="1" s="1"/>
  <c r="C25" i="1" s="1"/>
  <c r="C26" i="1" s="1"/>
  <c r="G48" i="1"/>
  <c r="F48" i="1"/>
  <c r="E48" i="1"/>
  <c r="D48" i="1"/>
  <c r="C48" i="1"/>
  <c r="D46" i="1"/>
  <c r="C46" i="1"/>
  <c r="G41" i="1"/>
  <c r="F41" i="1"/>
  <c r="E41" i="1"/>
  <c r="D41" i="1"/>
  <c r="C41" i="1"/>
  <c r="G27" i="1"/>
  <c r="F27" i="1"/>
  <c r="E27" i="1"/>
  <c r="D27" i="1"/>
  <c r="C27" i="1"/>
  <c r="G19" i="1"/>
  <c r="F19" i="1"/>
  <c r="E19" i="1"/>
  <c r="D19" i="1"/>
  <c r="C19" i="1"/>
  <c r="D18" i="1"/>
  <c r="E18" i="1" s="1"/>
  <c r="E46" i="1" s="1"/>
  <c r="G14" i="1"/>
  <c r="D31" i="1" s="1"/>
  <c r="E31" i="1" s="1"/>
  <c r="F31" i="1" s="1"/>
  <c r="G31" i="1" s="1"/>
  <c r="G13" i="1"/>
  <c r="C23" i="1" s="1"/>
  <c r="D23" i="1" s="1"/>
  <c r="E23" i="1" s="1"/>
  <c r="F23" i="1" s="1"/>
  <c r="G23" i="1" s="1"/>
  <c r="G10" i="1"/>
  <c r="G9" i="1"/>
  <c r="B5" i="1"/>
  <c r="B4" i="1"/>
  <c r="D30" i="1" l="1"/>
  <c r="D33" i="1" s="1"/>
  <c r="D34" i="1" s="1"/>
  <c r="E29" i="1"/>
  <c r="F29" i="1" s="1"/>
  <c r="G29" i="1" s="1"/>
  <c r="C30" i="1"/>
  <c r="C33" i="1" s="1"/>
  <c r="C34" i="1" s="1"/>
  <c r="E21" i="1"/>
  <c r="F21" i="1" s="1"/>
  <c r="G21" i="1" s="1"/>
  <c r="G15" i="1"/>
  <c r="B6" i="1" s="1"/>
  <c r="F18" i="1"/>
  <c r="D25" i="1"/>
  <c r="D26" i="1" s="1"/>
  <c r="E30" i="1"/>
  <c r="E33" i="1" s="1"/>
  <c r="C35" i="1" l="1"/>
  <c r="C36" i="1" s="1"/>
  <c r="C37" i="1" s="1"/>
  <c r="C38" i="1" s="1"/>
  <c r="E25" i="1"/>
  <c r="E26" i="1" s="1"/>
  <c r="E22" i="1"/>
  <c r="G18" i="1"/>
  <c r="G46" i="1" s="1"/>
  <c r="F46" i="1"/>
  <c r="D35" i="1"/>
  <c r="D36" i="1" s="1"/>
  <c r="D37" i="1" s="1"/>
  <c r="E34" i="1"/>
  <c r="E35" i="1" s="1"/>
  <c r="F30" i="1"/>
  <c r="F33" i="1" s="1"/>
  <c r="G25" i="1" l="1"/>
  <c r="G26" i="1" s="1"/>
  <c r="G22" i="1"/>
  <c r="F25" i="1"/>
  <c r="F26" i="1" s="1"/>
  <c r="F22" i="1"/>
  <c r="E36" i="1"/>
  <c r="E37" i="1" s="1"/>
  <c r="C40" i="1"/>
  <c r="C43" i="1" s="1"/>
  <c r="C44" i="1" s="1"/>
  <c r="D38" i="1"/>
  <c r="D40" i="1" s="1"/>
  <c r="D43" i="1" s="1"/>
  <c r="F34" i="1"/>
  <c r="F35" i="1" l="1"/>
  <c r="G30" i="1"/>
  <c r="G33" i="1" s="1"/>
  <c r="G34" i="1" s="1"/>
  <c r="G35" i="1" s="1"/>
  <c r="G36" i="1" s="1"/>
  <c r="G37" i="1" s="1"/>
  <c r="G38" i="1" s="1"/>
  <c r="F36" i="1"/>
  <c r="F37" i="1" s="1"/>
  <c r="D44" i="1"/>
  <c r="D45" i="1" s="1"/>
  <c r="D47" i="1" s="1"/>
  <c r="C45" i="1"/>
  <c r="C47" i="1" s="1"/>
  <c r="E38" i="1"/>
  <c r="E40" i="1" s="1"/>
  <c r="E43" i="1" s="1"/>
  <c r="E44" i="1" l="1"/>
  <c r="E45" i="1" s="1"/>
  <c r="E47" i="1" s="1"/>
  <c r="F38" i="1"/>
  <c r="F40" i="1" s="1"/>
  <c r="F43" i="1" s="1"/>
  <c r="G40" i="1"/>
  <c r="G49" i="1" s="1"/>
  <c r="G50" i="1" s="1"/>
  <c r="G51" i="1" s="1"/>
  <c r="G43" i="1" l="1"/>
  <c r="F44" i="1"/>
  <c r="F45" i="1" s="1"/>
  <c r="F47" i="1" s="1"/>
  <c r="G44" i="1" l="1"/>
  <c r="G45" i="1" s="1"/>
  <c r="G47" i="1" s="1"/>
  <c r="C52" i="1" s="1"/>
  <c r="C53" i="1" l="1"/>
  <c r="G59" i="1"/>
  <c r="E59" i="1"/>
  <c r="D59" i="1"/>
  <c r="F59" i="1"/>
  <c r="C59" i="1"/>
</calcChain>
</file>

<file path=xl/sharedStrings.xml><?xml version="1.0" encoding="utf-8"?>
<sst xmlns="http://schemas.openxmlformats.org/spreadsheetml/2006/main" count="132" uniqueCount="73">
  <si>
    <t>初始假设区域</t>
  </si>
  <si>
    <t>资产细分假设区</t>
  </si>
  <si>
    <t>首年可租赁面积</t>
  </si>
  <si>
    <t>㎡</t>
  </si>
  <si>
    <t>基准月租</t>
  </si>
  <si>
    <r>
      <rPr>
        <sz val="11"/>
        <color rgb="FF000000"/>
        <rFont val="Noto Sans CJK SC"/>
        <family val="2"/>
        <charset val="1"/>
      </rPr>
      <t>元</t>
    </r>
    <r>
      <rPr>
        <sz val="11"/>
        <color rgb="FF000000"/>
        <rFont val="Cambria"/>
        <family val="1"/>
      </rPr>
      <t>/</t>
    </r>
    <r>
      <rPr>
        <sz val="11"/>
        <color rgb="FF000000"/>
        <rFont val="Noto Sans CJK SC"/>
        <family val="2"/>
        <charset val="1"/>
      </rPr>
      <t>㎡</t>
    </r>
    <r>
      <rPr>
        <sz val="11"/>
        <color rgb="FF000000"/>
        <rFont val="Cambria"/>
        <family val="1"/>
      </rPr>
      <t>/</t>
    </r>
    <r>
      <rPr>
        <sz val="11"/>
        <color rgb="FF000000"/>
        <rFont val="Noto Sans CJK SC"/>
        <family val="2"/>
        <charset val="1"/>
      </rPr>
      <t>月</t>
    </r>
  </si>
  <si>
    <t>平均出租率</t>
  </si>
  <si>
    <t>%</t>
  </si>
  <si>
    <t>高标仓租金系数</t>
  </si>
  <si>
    <t>x</t>
  </si>
  <si>
    <t>平均租金</t>
  </si>
  <si>
    <t>冷链仓租金系数</t>
  </si>
  <si>
    <t>租金年增长率</t>
  </si>
  <si>
    <t>高标仓可租赁面积</t>
  </si>
  <si>
    <t>年均出租率提升</t>
  </si>
  <si>
    <t>冷链仓可租赁面积</t>
  </si>
  <si>
    <t>其他收入占租金收入比例</t>
  </si>
  <si>
    <t>高标仓面积占比</t>
  </si>
  <si>
    <t>运营成本率</t>
  </si>
  <si>
    <t>冷链仓面积占比</t>
  </si>
  <si>
    <t>年常规资本支出</t>
  </si>
  <si>
    <t>亿元</t>
  </si>
  <si>
    <t>高标仓首年出租率</t>
  </si>
  <si>
    <t>税率</t>
  </si>
  <si>
    <t>冷链仓首年出租率</t>
  </si>
  <si>
    <t>贴现率</t>
  </si>
  <si>
    <t>高标仓平均月租</t>
  </si>
  <si>
    <t>退出资本化率</t>
  </si>
  <si>
    <t>冷链仓平均月租</t>
  </si>
  <si>
    <t>预测期</t>
  </si>
  <si>
    <t>年</t>
  </si>
  <si>
    <t>加权平均月租</t>
  </si>
  <si>
    <r>
      <rPr>
        <i/>
        <sz val="11"/>
        <color rgb="FF666666"/>
        <rFont val="Noto Sans CJK SC"/>
        <family val="2"/>
        <charset val="1"/>
      </rPr>
      <t xml:space="preserve">说明：黄色单元格为输入项，绿色单元格为由细分假设或公式联动计算得到。主模型中的“变化系数”“额外运营成本”“额外资本支出”均预留给后续敏感性分析使用，默认值为 </t>
    </r>
    <r>
      <rPr>
        <i/>
        <sz val="11"/>
        <color rgb="FF666666"/>
        <rFont val="Cambria"/>
        <family val="1"/>
      </rPr>
      <t>0</t>
    </r>
    <r>
      <rPr>
        <i/>
        <sz val="11"/>
        <color rgb="FF666666"/>
        <rFont val="Noto Sans CJK SC"/>
        <family val="2"/>
        <charset val="1"/>
      </rPr>
      <t xml:space="preserve">。仓储物流园案例采用租金收入 </t>
    </r>
    <r>
      <rPr>
        <i/>
        <sz val="11"/>
        <color rgb="FF666666"/>
        <rFont val="Cambria"/>
        <family val="1"/>
      </rPr>
      <t xml:space="preserve">+ </t>
    </r>
    <r>
      <rPr>
        <i/>
        <sz val="11"/>
        <color rgb="FF666666"/>
        <rFont val="Noto Sans CJK SC"/>
        <family val="2"/>
        <charset val="1"/>
      </rPr>
      <t>其他收入、</t>
    </r>
    <r>
      <rPr>
        <i/>
        <sz val="11"/>
        <color rgb="FF666666"/>
        <rFont val="Cambria"/>
        <family val="1"/>
      </rPr>
      <t>NOI</t>
    </r>
    <r>
      <rPr>
        <i/>
        <sz val="11"/>
        <color rgb="FF666666"/>
        <rFont val="Noto Sans CJK SC"/>
        <family val="2"/>
        <charset val="1"/>
      </rPr>
      <t>、终值资本化率的估值框架。</t>
    </r>
  </si>
  <si>
    <t>年度估值明细（主模型）</t>
  </si>
  <si>
    <t>项目行</t>
  </si>
  <si>
    <t>单位</t>
  </si>
  <si>
    <t>高标仓出租率变化系数</t>
  </si>
  <si>
    <t>高标仓租金变化系数</t>
  </si>
  <si>
    <t>高标仓已出租面积</t>
  </si>
  <si>
    <t>高标仓租金收入</t>
  </si>
  <si>
    <t>冷链仓出租率变化系数</t>
  </si>
  <si>
    <t>冷链仓租金变化系数</t>
  </si>
  <si>
    <t>冷链仓已出租面积</t>
  </si>
  <si>
    <t>冷链仓租金收入</t>
  </si>
  <si>
    <t>租金收入合计</t>
  </si>
  <si>
    <t>其他收入</t>
  </si>
  <si>
    <r>
      <rPr>
        <sz val="11"/>
        <color theme="1"/>
        <rFont val="Noto Sans CJK SC"/>
        <family val="2"/>
        <charset val="1"/>
      </rPr>
      <t>有效总收入（</t>
    </r>
    <r>
      <rPr>
        <sz val="11"/>
        <color theme="1"/>
        <rFont val="Calibri"/>
        <family val="2"/>
        <charset val="1"/>
      </rPr>
      <t>EGI</t>
    </r>
    <r>
      <rPr>
        <sz val="11"/>
        <color theme="1"/>
        <rFont val="Noto Sans CJK SC"/>
        <family val="2"/>
        <charset val="1"/>
      </rPr>
      <t>）</t>
    </r>
  </si>
  <si>
    <t>年运营成本</t>
  </si>
  <si>
    <t>额外运营成本</t>
  </si>
  <si>
    <t>NOI</t>
  </si>
  <si>
    <t>额外资本支出</t>
  </si>
  <si>
    <t>税前现金流</t>
  </si>
  <si>
    <t>交税</t>
  </si>
  <si>
    <t>净现金流</t>
  </si>
  <si>
    <t>折现因子</t>
  </si>
  <si>
    <t>折现值</t>
  </si>
  <si>
    <t>期末资本化率</t>
  </si>
  <si>
    <r>
      <rPr>
        <sz val="11"/>
        <color theme="1"/>
        <rFont val="Noto Sans CJK SC"/>
        <family val="2"/>
        <charset val="1"/>
      </rPr>
      <t>第</t>
    </r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Noto Sans CJK SC"/>
        <family val="2"/>
        <charset val="1"/>
      </rPr>
      <t>年稳定化</t>
    </r>
    <r>
      <rPr>
        <sz val="11"/>
        <color theme="1"/>
        <rFont val="Calibri"/>
        <family val="2"/>
        <charset val="1"/>
      </rPr>
      <t>NOI</t>
    </r>
  </si>
  <si>
    <t>终值（仅期末）</t>
  </si>
  <si>
    <t>终值折现值</t>
  </si>
  <si>
    <t>项目现值（亿元）</t>
  </si>
  <si>
    <t>敏感性分析与图表区</t>
  </si>
  <si>
    <r>
      <rPr>
        <i/>
        <sz val="11"/>
        <color rgb="FF666666"/>
        <rFont val="Cambria"/>
        <family val="1"/>
      </rPr>
      <t>Excel</t>
    </r>
    <r>
      <rPr>
        <i/>
        <sz val="11"/>
        <color rgb="FF666666"/>
        <rFont val="Noto Sans CJK SC"/>
        <family val="2"/>
        <charset val="1"/>
      </rPr>
      <t xml:space="preserve">图表 </t>
    </r>
    <r>
      <rPr>
        <i/>
        <sz val="11"/>
        <color rgb="FF666666"/>
        <rFont val="Cambria"/>
        <family val="1"/>
      </rPr>
      <t>1</t>
    </r>
    <r>
      <rPr>
        <i/>
        <sz val="11"/>
        <color rgb="FF666666"/>
        <rFont val="Noto Sans CJK SC"/>
        <family val="2"/>
        <charset val="1"/>
      </rPr>
      <t>：</t>
    </r>
    <r>
      <rPr>
        <i/>
        <sz val="11"/>
        <color rgb="FF666666"/>
        <rFont val="Cambria"/>
        <family val="1"/>
      </rPr>
      <t>NOI</t>
    </r>
    <r>
      <rPr>
        <i/>
        <sz val="11"/>
        <color rgb="FF666666"/>
        <rFont val="Noto Sans CJK SC"/>
        <family val="2"/>
        <charset val="1"/>
      </rPr>
      <t>、净现金流与折现值</t>
    </r>
  </si>
  <si>
    <r>
      <rPr>
        <i/>
        <sz val="11"/>
        <color rgb="FF666666"/>
        <rFont val="Cambria"/>
        <family val="1"/>
      </rPr>
      <t>Excel</t>
    </r>
    <r>
      <rPr>
        <i/>
        <sz val="11"/>
        <color rgb="FF666666"/>
        <rFont val="Noto Sans CJK SC"/>
        <family val="2"/>
        <charset val="1"/>
      </rPr>
      <t xml:space="preserve">图表 </t>
    </r>
    <r>
      <rPr>
        <i/>
        <sz val="11"/>
        <color rgb="FF666666"/>
        <rFont val="Cambria"/>
        <family val="1"/>
      </rPr>
      <t>2</t>
    </r>
    <r>
      <rPr>
        <i/>
        <sz val="11"/>
        <color rgb="FF666666"/>
        <rFont val="Noto Sans CJK SC"/>
        <family val="2"/>
        <charset val="1"/>
      </rPr>
      <t>：退出资本化率敏感性</t>
    </r>
  </si>
  <si>
    <t>L市仓储物流园项目估值模型</t>
  </si>
  <si>
    <t>基准高标仓出租率</t>
  </si>
  <si>
    <t>调整后高标仓出租率</t>
  </si>
  <si>
    <t>基准冷链仓出租率</t>
  </si>
  <si>
    <t>调整后冷链仓出租率</t>
  </si>
  <si>
    <t>-</t>
  </si>
  <si>
    <t>退出资本化率敏感性</t>
  </si>
  <si>
    <t>物流园价值（亿元）</t>
  </si>
  <si>
    <t>五年收费权项目现值（亿元）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</si>
</sst>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(#,##0.00\);\-"/>
    <numFmt numFmtId="165" formatCode="0.0%"/>
    <numFmt numFmtId="166" formatCode="0.0\x"/>
    <numFmt numFmtId="167" formatCode="0.000\x"/>
  </numFmts>
  <fonts count="13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rgb="FF0000FF"/>
      <name val="Cambria"/>
      <family val="1"/>
    </font>
    <font>
      <sz val="11"/>
      <color rgb="FF000000"/>
      <name val="Noto Sans CJK SC"/>
      <family val="2"/>
      <charset val="1"/>
    </font>
    <font>
      <sz val="11"/>
      <color rgb="FF000000"/>
      <name val="Cambria"/>
      <family val="1"/>
    </font>
    <font>
      <i/>
      <sz val="11"/>
      <color rgb="FF666666"/>
      <name val="Noto Sans CJK SC"/>
      <family val="2"/>
      <charset val="1"/>
    </font>
    <font>
      <i/>
      <sz val="11"/>
      <color rgb="FF666666"/>
      <name val="Cambria"/>
      <family val="1"/>
    </font>
    <font>
      <b/>
      <sz val="11"/>
      <name val="Noto Sans CJK SC"/>
      <family val="2"/>
      <charset val="1"/>
    </font>
    <font>
      <b/>
      <sz val="12"/>
      <name val="Cambria"/>
      <family val="1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F3FA"/>
        <bgColor rgb="FFF9F9F9"/>
      </patternFill>
    </fill>
    <fill>
      <patternFill patternType="solid">
        <fgColor rgb="FFD9E1F2"/>
        <b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1F4E7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0" borderId="0" xfId="0" applyFont="1" applyAlignment="1">
      <alignment wrapText="1"/>
    </xf>
    <xf numFmtId="0" fontId="0" fillId="0" borderId="0" xfId="0"/>
    <xf numFmtId="0" fontId="6" fillId="4" borderId="0" xfId="0" applyFont="1" applyFill="1" applyAlignment="1">
      <alignment vertical="top" wrapText="1"/>
    </xf>
    <xf numFmtId="0" fontId="6" fillId="0" borderId="0" xfId="0" applyFont="1" applyAlignment="1">
      <alignment wrapText="1"/>
    </xf>
    <xf numFmtId="0" fontId="1" fillId="2" borderId="0" xfId="0" applyFont="1" applyFill="1"/>
    <xf numFmtId="0" fontId="2" fillId="0" borderId="0" xfId="0" applyFont="1"/>
    <xf numFmtId="3" fontId="3" fillId="3" borderId="1" xfId="0" applyNumberFormat="1" applyFont="1" applyFill="1" applyBorder="1"/>
    <xf numFmtId="3" fontId="4" fillId="0" borderId="0" xfId="0" applyNumberFormat="1" applyFont="1" applyAlignment="1">
      <alignment horizontal="right"/>
    </xf>
    <xf numFmtId="164" fontId="3" fillId="3" borderId="0" xfId="0" applyNumberFormat="1" applyFont="1" applyFill="1" applyAlignment="1">
      <alignment horizontal="right"/>
    </xf>
    <xf numFmtId="165" fontId="3" fillId="3" borderId="1" xfId="0" applyNumberFormat="1" applyFont="1" applyFill="1" applyBorder="1"/>
    <xf numFmtId="3" fontId="5" fillId="0" borderId="0" xfId="0" applyNumberFormat="1" applyFont="1" applyAlignment="1">
      <alignment horizontal="right"/>
    </xf>
    <xf numFmtId="166" fontId="3" fillId="3" borderId="0" xfId="0" applyNumberFormat="1" applyFont="1" applyFill="1" applyAlignment="1">
      <alignment horizontal="right"/>
    </xf>
    <xf numFmtId="164" fontId="3" fillId="3" borderId="1" xfId="0" applyNumberFormat="1" applyFont="1" applyFill="1" applyBorder="1"/>
    <xf numFmtId="165" fontId="3" fillId="3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1" fontId="3" fillId="3" borderId="0" xfId="0" applyNumberFormat="1" applyFont="1" applyFill="1" applyAlignment="1">
      <alignment horizontal="right"/>
    </xf>
    <xf numFmtId="0" fontId="6" fillId="0" borderId="0" xfId="0" applyFont="1" applyAlignment="1">
      <alignment wrapText="1"/>
    </xf>
    <xf numFmtId="0" fontId="8" fillId="5" borderId="2" xfId="0" applyFont="1" applyFill="1" applyBorder="1" applyAlignment="1">
      <alignment horizontal="center"/>
    </xf>
    <xf numFmtId="165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7" fontId="5" fillId="0" borderId="0" xfId="0" applyNumberFormat="1" applyFont="1" applyAlignment="1">
      <alignment horizontal="right"/>
    </xf>
    <xf numFmtId="164" fontId="9" fillId="6" borderId="0" xfId="0" applyNumberFormat="1" applyFont="1" applyFill="1"/>
    <xf numFmtId="0" fontId="10" fillId="2" borderId="0" xfId="0" applyFont="1" applyFill="1"/>
    <xf numFmtId="0" fontId="11" fillId="0" borderId="0" xfId="0" applyFont="1"/>
    <xf numFmtId="0" fontId="1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2CC"/>
      <rgbColor rgb="FFEAF3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F9F9F9"/>
      <rgbColor rgb="FFFFFF99"/>
      <rgbColor rgb="FF99CCFF"/>
      <rgbColor rgb="FFFF99CC"/>
      <rgbColor rgb="FFCC99FF"/>
      <rgbColor rgb="FFFCE4D6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L</a:t>
            </a:r>
            <a:r>
              <a:rPr lang="zh-CN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市仓储物流园：</a:t>
            </a: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NOI、</a:t>
            </a:r>
            <a:r>
              <a:rPr lang="zh-CN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净现金流与折现值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L市仓储物流园估值!$C$18:$G$18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L市仓储物流园估值!$C$40:$G$40</c:f>
              <c:numCache>
                <c:formatCode>#,##0.00;[Red]\(#,##0.00\);\-</c:formatCode>
                <c:ptCount val="5"/>
                <c:pt idx="0">
                  <c:v>0.5638048416</c:v>
                </c:pt>
                <c:pt idx="1">
                  <c:v>0.58745504347199995</c:v>
                </c:pt>
                <c:pt idx="2">
                  <c:v>0.61201683309888</c:v>
                </c:pt>
                <c:pt idx="3">
                  <c:v>0.63752362056424794</c:v>
                </c:pt>
                <c:pt idx="4">
                  <c:v>0.66401000012774924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6B-4349-92B2-9FA830D1FFF7}"/>
            </c:ext>
          </c:extLst>
        </c:ser>
        <c:ser>
          <c:idx val="1"/>
          <c:order val="1"/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L市仓储物流园估值!$C$18:$G$18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L市仓储物流园估值!$C$45:$G$45</c:f>
              <c:numCache>
                <c:formatCode>#,##0.00;[Red]\(#,##0.00\);\-</c:formatCode>
                <c:ptCount val="5"/>
                <c:pt idx="0">
                  <c:v>0.38535363119999999</c:v>
                </c:pt>
                <c:pt idx="1">
                  <c:v>0.40309128260399996</c:v>
                </c:pt>
                <c:pt idx="2">
                  <c:v>0.42151262482415996</c:v>
                </c:pt>
                <c:pt idx="3">
                  <c:v>0.44064271542318589</c:v>
                </c:pt>
                <c:pt idx="4">
                  <c:v>0.46050750009581187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6B-4349-92B2-9FA830D1FFF7}"/>
            </c:ext>
          </c:extLst>
        </c:ser>
        <c:ser>
          <c:idx val="2"/>
          <c:order val="2"/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L市仓储物流园估值!$C$18:$G$18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L市仓储物流园估值!$C$47:$G$47</c:f>
              <c:numCache>
                <c:formatCode>#,##0.00;[Red]\(#,##0.00\);\-</c:formatCode>
                <c:ptCount val="5"/>
                <c:pt idx="0">
                  <c:v>0.3535354414678899</c:v>
                </c:pt>
                <c:pt idx="1">
                  <c:v>0.33927386802794368</c:v>
                </c:pt>
                <c:pt idx="2">
                  <c:v>0.32548508552639355</c:v>
                </c:pt>
                <c:pt idx="3">
                  <c:v>0.31216240867801176</c:v>
                </c:pt>
                <c:pt idx="4">
                  <c:v>0.29929827793805636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16B-4349-92B2-9FA830D1F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252608"/>
        <c:axId val="41714006"/>
      </c:lineChart>
      <c:catAx>
        <c:axId val="842526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zh-CN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714006"/>
        <c:crosses val="autoZero"/>
        <c:auto val="1"/>
        <c:lblAlgn val="ctr"/>
        <c:lblOffset val="100"/>
        <c:noMultiLvlLbl val="0"/>
      </c:catAx>
      <c:valAx>
        <c:axId val="417140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zh-CN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亿元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4252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zh-CN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退出资本化率敏感性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numRef>
              <c:f>L市仓储物流园估值!$C$58:$G$58</c:f>
              <c:numCache>
                <c:formatCode>0.0%</c:formatCode>
                <c:ptCount val="5"/>
                <c:pt idx="0">
                  <c:v>5.5E-2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7.4999999999999997E-2</c:v>
                </c:pt>
              </c:numCache>
            </c:numRef>
          </c:cat>
          <c:val>
            <c:numRef>
              <c:f>L市仓储物流园估值!$C$59:$G$59</c:f>
              <c:numCache>
                <c:formatCode>#,##0.00;[Red]\(#,##0.00\);\-</c:formatCode>
                <c:ptCount val="5"/>
                <c:pt idx="0">
                  <c:v>9.7117145015648827</c:v>
                </c:pt>
                <c:pt idx="1">
                  <c:v>9.0382178832376656</c:v>
                </c:pt>
                <c:pt idx="2">
                  <c:v>8.4683361292684829</c:v>
                </c:pt>
                <c:pt idx="3">
                  <c:v>7.9798660544377551</c:v>
                </c:pt>
                <c:pt idx="4">
                  <c:v>7.5565253229177918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F-3A4D-B84B-2654C72A6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242670"/>
        <c:axId val="97591034"/>
      </c:barChart>
      <c:catAx>
        <c:axId val="262426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zh-CN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退出资本化率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7591034"/>
        <c:crosses val="autoZero"/>
        <c:auto val="1"/>
        <c:lblAlgn val="ctr"/>
        <c:lblOffset val="100"/>
        <c:noMultiLvlLbl val="0"/>
      </c:catAx>
      <c:valAx>
        <c:axId val="975910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zh-CN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项目现值（亿元）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(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62426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59</xdr:row>
      <xdr:rowOff>34920</xdr:rowOff>
    </xdr:from>
    <xdr:to>
      <xdr:col>4</xdr:col>
      <xdr:colOff>1036800</xdr:colOff>
      <xdr:row>72</xdr:row>
      <xdr:rowOff>56520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63</xdr:row>
      <xdr:rowOff>34920</xdr:rowOff>
    </xdr:from>
    <xdr:to>
      <xdr:col>3</xdr:col>
      <xdr:colOff>654120</xdr:colOff>
      <xdr:row>75</xdr:row>
      <xdr:rowOff>77760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showGridLines="0" tabSelected="1" zoomScale="137" zoomScaleNormal="100" workbookViewId="0">
      <pane xSplit="2" ySplit="18" topLeftCell="C19" activePane="bottomRight" state="frozen"/>
      <selection pane="topRight" activeCell="C1" sqref="C1"/>
      <selection pane="bottomLeft" activeCell="A19" sqref="A19"/>
      <selection pane="bottomRight" activeCell="F27" sqref="F27"/>
    </sheetView>
  </sheetViews>
  <sheetFormatPr baseColWidth="10" defaultColWidth="8.6640625" defaultRowHeight="15" customHeight="1"/>
  <cols>
    <col min="1" max="1" width="25" customWidth="1"/>
    <col min="2" max="2" width="12" customWidth="1"/>
    <col min="3" max="7" width="15" customWidth="1"/>
    <col min="8" max="9" width="14" customWidth="1"/>
    <col min="10" max="10" width="16" customWidth="1"/>
  </cols>
  <sheetData>
    <row r="1" spans="1:10" ht="19">
      <c r="A1" s="25" t="s">
        <v>64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5" customHeight="1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>
      <c r="A3" s="23" t="s">
        <v>0</v>
      </c>
      <c r="B3" s="23"/>
      <c r="C3" s="23"/>
      <c r="D3" s="23"/>
      <c r="E3" s="24"/>
      <c r="F3" s="23" t="s">
        <v>1</v>
      </c>
      <c r="G3" s="23"/>
      <c r="H3" s="23"/>
      <c r="I3" s="23"/>
      <c r="J3" s="23"/>
    </row>
    <row r="4" spans="1:10">
      <c r="A4" s="6" t="s">
        <v>2</v>
      </c>
      <c r="B4" s="7">
        <f>SUM(G7:G8)</f>
        <v>100000</v>
      </c>
      <c r="C4" s="8" t="s">
        <v>3</v>
      </c>
      <c r="F4" s="6" t="s">
        <v>4</v>
      </c>
      <c r="G4" s="9">
        <v>55</v>
      </c>
      <c r="H4" s="8" t="s">
        <v>5</v>
      </c>
    </row>
    <row r="5" spans="1:10">
      <c r="A5" s="6" t="s">
        <v>6</v>
      </c>
      <c r="B5" s="10">
        <f>SUMPRODUCT(G7:G8,G11:G12)/SUM(G7:G8)</f>
        <v>0.86799999999999999</v>
      </c>
      <c r="C5" s="11" t="s">
        <v>7</v>
      </c>
      <c r="F5" s="6" t="s">
        <v>8</v>
      </c>
      <c r="G5" s="12">
        <v>1</v>
      </c>
      <c r="H5" s="11" t="s">
        <v>9</v>
      </c>
    </row>
    <row r="6" spans="1:10">
      <c r="A6" s="6" t="s">
        <v>10</v>
      </c>
      <c r="B6" s="13">
        <f>G15</f>
        <v>62.7</v>
      </c>
      <c r="C6" s="8" t="s">
        <v>5</v>
      </c>
      <c r="F6" s="6" t="s">
        <v>11</v>
      </c>
      <c r="G6" s="12">
        <v>1.7</v>
      </c>
      <c r="H6" s="11" t="s">
        <v>9</v>
      </c>
    </row>
    <row r="7" spans="1:10">
      <c r="A7" s="6" t="s">
        <v>12</v>
      </c>
      <c r="B7" s="14">
        <v>0.03</v>
      </c>
      <c r="C7" s="8"/>
      <c r="F7" s="6" t="s">
        <v>13</v>
      </c>
      <c r="G7" s="15">
        <v>80000</v>
      </c>
      <c r="H7" s="8" t="s">
        <v>3</v>
      </c>
    </row>
    <row r="8" spans="1:10">
      <c r="A8" s="6" t="s">
        <v>14</v>
      </c>
      <c r="B8" s="14">
        <v>0.01</v>
      </c>
      <c r="C8" s="8"/>
      <c r="F8" s="6" t="s">
        <v>15</v>
      </c>
      <c r="G8" s="15">
        <v>20000</v>
      </c>
      <c r="H8" s="8" t="s">
        <v>3</v>
      </c>
    </row>
    <row r="9" spans="1:10">
      <c r="A9" s="6" t="s">
        <v>16</v>
      </c>
      <c r="B9" s="14">
        <v>0.06</v>
      </c>
      <c r="C9" s="8"/>
      <c r="F9" s="6" t="s">
        <v>17</v>
      </c>
      <c r="G9" s="10">
        <f>G7/SUM(G7:G8)</f>
        <v>0.8</v>
      </c>
      <c r="H9" s="8"/>
    </row>
    <row r="10" spans="1:10">
      <c r="A10" s="6" t="s">
        <v>18</v>
      </c>
      <c r="B10" s="14">
        <v>0.18</v>
      </c>
      <c r="C10" s="8"/>
      <c r="F10" s="6" t="s">
        <v>19</v>
      </c>
      <c r="G10" s="10">
        <f>G8/SUM(G7:G8)</f>
        <v>0.2</v>
      </c>
      <c r="H10" s="8"/>
    </row>
    <row r="11" spans="1:10">
      <c r="A11" s="6" t="s">
        <v>20</v>
      </c>
      <c r="B11" s="9">
        <v>0.05</v>
      </c>
      <c r="C11" s="8" t="s">
        <v>21</v>
      </c>
      <c r="F11" s="6" t="s">
        <v>22</v>
      </c>
      <c r="G11" s="14">
        <v>0.88</v>
      </c>
      <c r="H11" s="8"/>
    </row>
    <row r="12" spans="1:10">
      <c r="A12" s="6" t="s">
        <v>23</v>
      </c>
      <c r="B12" s="14">
        <v>0.25</v>
      </c>
      <c r="C12" s="8"/>
      <c r="F12" s="6" t="s">
        <v>24</v>
      </c>
      <c r="G12" s="14">
        <v>0.82</v>
      </c>
      <c r="H12" s="8"/>
    </row>
    <row r="13" spans="1:10">
      <c r="A13" s="6" t="s">
        <v>25</v>
      </c>
      <c r="B13" s="14">
        <v>0.09</v>
      </c>
      <c r="C13" s="8"/>
      <c r="F13" s="6" t="s">
        <v>26</v>
      </c>
      <c r="G13" s="13">
        <f>G4*G5</f>
        <v>55</v>
      </c>
      <c r="H13" s="8" t="s">
        <v>5</v>
      </c>
    </row>
    <row r="14" spans="1:10">
      <c r="A14" s="6" t="s">
        <v>27</v>
      </c>
      <c r="B14" s="14">
        <v>6.5000000000000002E-2</v>
      </c>
      <c r="C14" s="8"/>
      <c r="F14" s="6" t="s">
        <v>28</v>
      </c>
      <c r="G14" s="13">
        <f>G4*G6</f>
        <v>93.5</v>
      </c>
      <c r="H14" s="8" t="s">
        <v>5</v>
      </c>
    </row>
    <row r="15" spans="1:10">
      <c r="A15" s="6" t="s">
        <v>29</v>
      </c>
      <c r="B15" s="16">
        <v>5</v>
      </c>
      <c r="C15" s="8" t="s">
        <v>30</v>
      </c>
      <c r="F15" s="6" t="s">
        <v>31</v>
      </c>
      <c r="G15" s="13">
        <f>SUMPRODUCT(G7:G8,G13:G14)/SUM(G7:G8)</f>
        <v>62.7</v>
      </c>
      <c r="H15" s="8" t="s">
        <v>5</v>
      </c>
    </row>
    <row r="16" spans="1:10" ht="30" customHeight="1">
      <c r="A16" s="4" t="s">
        <v>32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15" customHeight="1">
      <c r="A17" s="23" t="s">
        <v>33</v>
      </c>
      <c r="B17" s="23"/>
      <c r="C17" s="23"/>
      <c r="D17" s="23"/>
      <c r="E17" s="23"/>
      <c r="F17" s="23"/>
      <c r="G17" s="23"/>
      <c r="I17" s="3"/>
      <c r="J17" s="3"/>
    </row>
    <row r="18" spans="1:10">
      <c r="A18" s="18" t="s">
        <v>34</v>
      </c>
      <c r="B18" s="18" t="s">
        <v>35</v>
      </c>
      <c r="C18" s="18">
        <v>2026</v>
      </c>
      <c r="D18" s="18">
        <f>C18+1</f>
        <v>2027</v>
      </c>
      <c r="E18" s="18">
        <f>D18+1</f>
        <v>2028</v>
      </c>
      <c r="F18" s="18">
        <f>E18+1</f>
        <v>2029</v>
      </c>
      <c r="G18" s="18">
        <f>F18+1</f>
        <v>2030</v>
      </c>
      <c r="I18" s="3"/>
      <c r="J18" s="3"/>
    </row>
    <row r="19" spans="1:10">
      <c r="A19" s="6" t="s">
        <v>13</v>
      </c>
      <c r="B19" s="8" t="s">
        <v>3</v>
      </c>
      <c r="C19" s="8">
        <f>$G$7</f>
        <v>80000</v>
      </c>
      <c r="D19" s="8">
        <f>$G$7</f>
        <v>80000</v>
      </c>
      <c r="E19" s="8">
        <f>$G$7</f>
        <v>80000</v>
      </c>
      <c r="F19" s="8">
        <f>$G$7</f>
        <v>80000</v>
      </c>
      <c r="G19" s="8">
        <f>$G$7</f>
        <v>80000</v>
      </c>
      <c r="I19" s="3"/>
      <c r="J19" s="3"/>
    </row>
    <row r="20" spans="1:10">
      <c r="A20" s="6" t="s">
        <v>36</v>
      </c>
      <c r="B20" s="11" t="s">
        <v>7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I20" s="3"/>
      <c r="J20" s="3"/>
    </row>
    <row r="21" spans="1:10">
      <c r="A21" s="6" t="s">
        <v>65</v>
      </c>
      <c r="B21" s="11" t="s">
        <v>7</v>
      </c>
      <c r="C21" s="19">
        <f>$G$11</f>
        <v>0.88</v>
      </c>
      <c r="D21" s="19">
        <f>MIN(100%,C21+$B$8)</f>
        <v>0.89</v>
      </c>
      <c r="E21" s="19">
        <f t="shared" ref="E21:F21" si="0">MIN(100%,D21+$B$8)</f>
        <v>0.9</v>
      </c>
      <c r="F21" s="19">
        <f t="shared" si="0"/>
        <v>0.91</v>
      </c>
      <c r="G21" s="19">
        <f>MIN(100%,F21+$B$8)</f>
        <v>0.92</v>
      </c>
      <c r="I21" s="3"/>
      <c r="J21" s="3"/>
    </row>
    <row r="22" spans="1:10">
      <c r="A22" s="6" t="s">
        <v>66</v>
      </c>
      <c r="B22" s="11" t="s">
        <v>7</v>
      </c>
      <c r="C22" s="19">
        <f>MIN(100%,C21+C20)</f>
        <v>0.88</v>
      </c>
      <c r="D22" s="19">
        <f>MIN(100%,D21+D20)</f>
        <v>0.89</v>
      </c>
      <c r="E22" s="19">
        <f t="shared" ref="E22:G22" si="1">MIN(100%,E21+E20)</f>
        <v>0.9</v>
      </c>
      <c r="F22" s="19">
        <f t="shared" si="1"/>
        <v>0.91</v>
      </c>
      <c r="G22" s="19">
        <f t="shared" si="1"/>
        <v>0.92</v>
      </c>
      <c r="I22" s="3"/>
      <c r="J22" s="3"/>
    </row>
    <row r="23" spans="1:10">
      <c r="A23" s="6" t="s">
        <v>26</v>
      </c>
      <c r="B23" s="8" t="s">
        <v>5</v>
      </c>
      <c r="C23" s="20">
        <f>$G$13*(1+C24)</f>
        <v>55</v>
      </c>
      <c r="D23" s="20">
        <f>C23*(1+$B$7+D24)</f>
        <v>56.65</v>
      </c>
      <c r="E23" s="20">
        <f>D23*(1+$B$7+E24)</f>
        <v>58.349499999999999</v>
      </c>
      <c r="F23" s="20">
        <f>E23*(1+$B$7+F24)</f>
        <v>60.099985000000004</v>
      </c>
      <c r="G23" s="20">
        <f>F23*(1+$B$7+G24)</f>
        <v>61.902984550000006</v>
      </c>
      <c r="I23" s="3"/>
      <c r="J23" s="3"/>
    </row>
    <row r="24" spans="1:10">
      <c r="A24" s="6" t="s">
        <v>37</v>
      </c>
      <c r="B24" s="11" t="s">
        <v>7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I24" s="3"/>
      <c r="J24" s="3"/>
    </row>
    <row r="25" spans="1:10">
      <c r="A25" s="6" t="s">
        <v>38</v>
      </c>
      <c r="B25" s="8" t="s">
        <v>3</v>
      </c>
      <c r="C25" s="8">
        <f>C19*C22</f>
        <v>70400</v>
      </c>
      <c r="D25" s="8">
        <f>D19*D21</f>
        <v>71200</v>
      </c>
      <c r="E25" s="8">
        <f>E19*E21</f>
        <v>72000</v>
      </c>
      <c r="F25" s="8">
        <f>F19*F21</f>
        <v>72800</v>
      </c>
      <c r="G25" s="8">
        <f>G19*G21</f>
        <v>73600</v>
      </c>
      <c r="I25" s="3"/>
      <c r="J25" s="3"/>
    </row>
    <row r="26" spans="1:10">
      <c r="A26" s="6" t="s">
        <v>39</v>
      </c>
      <c r="B26" s="8" t="s">
        <v>21</v>
      </c>
      <c r="C26" s="20">
        <f>C25*C23*12/100000000</f>
        <v>0.46464</v>
      </c>
      <c r="D26" s="20">
        <f>D25*D23*12/100000000</f>
        <v>0.48401759999999999</v>
      </c>
      <c r="E26" s="20">
        <f>E25*E23*12/100000000</f>
        <v>0.50413967999999998</v>
      </c>
      <c r="F26" s="20">
        <f>F25*F23*12/100000000</f>
        <v>0.52503346896000003</v>
      </c>
      <c r="G26" s="20">
        <f>G25*G23*12/100000000</f>
        <v>0.54672715954560014</v>
      </c>
      <c r="I26" s="3"/>
      <c r="J26" s="3"/>
    </row>
    <row r="27" spans="1:10">
      <c r="A27" s="6" t="s">
        <v>15</v>
      </c>
      <c r="B27" s="8" t="s">
        <v>3</v>
      </c>
      <c r="C27" s="8">
        <f>$G$8</f>
        <v>20000</v>
      </c>
      <c r="D27" s="8">
        <f>$G$8</f>
        <v>20000</v>
      </c>
      <c r="E27" s="8">
        <f>$G$8</f>
        <v>20000</v>
      </c>
      <c r="F27" s="8">
        <f>$G$8</f>
        <v>20000</v>
      </c>
      <c r="G27" s="8">
        <f>$G$8</f>
        <v>20000</v>
      </c>
      <c r="I27" s="3"/>
      <c r="J27" s="3"/>
    </row>
    <row r="28" spans="1:10">
      <c r="A28" s="6" t="s">
        <v>40</v>
      </c>
      <c r="B28" s="11" t="s">
        <v>7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I28" s="3"/>
      <c r="J28" s="3"/>
    </row>
    <row r="29" spans="1:10">
      <c r="A29" s="6" t="s">
        <v>67</v>
      </c>
      <c r="B29" s="11" t="s">
        <v>7</v>
      </c>
      <c r="C29" s="19">
        <f>MIN(100%,$G$12)</f>
        <v>0.82</v>
      </c>
      <c r="D29" s="19">
        <f>MIN(100%,C29+$B$8)</f>
        <v>0.83</v>
      </c>
      <c r="E29" s="19">
        <f t="shared" ref="E29:G29" si="2">MIN(100%,D29+$B$8)</f>
        <v>0.84</v>
      </c>
      <c r="F29" s="19">
        <f t="shared" si="2"/>
        <v>0.85</v>
      </c>
      <c r="G29" s="19">
        <f t="shared" si="2"/>
        <v>0.86</v>
      </c>
      <c r="I29" s="3"/>
      <c r="J29" s="3"/>
    </row>
    <row r="30" spans="1:10">
      <c r="A30" s="6" t="s">
        <v>68</v>
      </c>
      <c r="B30" s="11" t="s">
        <v>7</v>
      </c>
      <c r="C30" s="19">
        <f>MIN(100%,C29+C28)</f>
        <v>0.82</v>
      </c>
      <c r="D30" s="19">
        <f>MIN(100%,D29+D28)</f>
        <v>0.83</v>
      </c>
      <c r="E30" s="19">
        <f t="shared" ref="E30" si="3">MIN(100%,E29+E28)</f>
        <v>0.84</v>
      </c>
      <c r="F30" s="19">
        <f t="shared" ref="F30" si="4">MIN(100%,F29+F28)</f>
        <v>0.85</v>
      </c>
      <c r="G30" s="19">
        <f t="shared" ref="G30" si="5">MIN(100%,G29+G28)</f>
        <v>0.86</v>
      </c>
      <c r="I30" s="3"/>
      <c r="J30" s="3"/>
    </row>
    <row r="31" spans="1:10">
      <c r="A31" s="6" t="s">
        <v>28</v>
      </c>
      <c r="B31" s="8" t="s">
        <v>5</v>
      </c>
      <c r="C31" s="20">
        <f>$G$14*(1+C32)</f>
        <v>93.5</v>
      </c>
      <c r="D31" s="20">
        <f>C31*(1+$B$7+D32)</f>
        <v>96.305000000000007</v>
      </c>
      <c r="E31" s="20">
        <f>D31*(1+$B$7+E32)</f>
        <v>99.194150000000008</v>
      </c>
      <c r="F31" s="20">
        <f>E31*(1+$B$7+F32)</f>
        <v>102.16997450000001</v>
      </c>
      <c r="G31" s="20">
        <f>F31*(1+$B$7+G32)</f>
        <v>105.23507373500001</v>
      </c>
      <c r="I31" s="3"/>
      <c r="J31" s="3"/>
    </row>
    <row r="32" spans="1:10">
      <c r="A32" s="6" t="s">
        <v>41</v>
      </c>
      <c r="B32" s="11" t="s">
        <v>7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I32" s="3"/>
      <c r="J32" s="3"/>
    </row>
    <row r="33" spans="1:7">
      <c r="A33" s="6" t="s">
        <v>42</v>
      </c>
      <c r="B33" s="8" t="s">
        <v>3</v>
      </c>
      <c r="C33" s="8">
        <f>C27*C30</f>
        <v>16400</v>
      </c>
      <c r="D33" s="8">
        <f t="shared" ref="D33:G33" si="6">D27*D30</f>
        <v>16600</v>
      </c>
      <c r="E33" s="8">
        <f t="shared" si="6"/>
        <v>16800</v>
      </c>
      <c r="F33" s="8">
        <f t="shared" si="6"/>
        <v>17000</v>
      </c>
      <c r="G33" s="8">
        <f t="shared" si="6"/>
        <v>17200</v>
      </c>
    </row>
    <row r="34" spans="1:7">
      <c r="A34" s="6" t="s">
        <v>43</v>
      </c>
      <c r="B34" s="8" t="s">
        <v>21</v>
      </c>
      <c r="C34" s="20">
        <f>C33*C31*12/100000000</f>
        <v>0.184008</v>
      </c>
      <c r="D34" s="20">
        <f>D33*D31*12/100000000</f>
        <v>0.19183955999999999</v>
      </c>
      <c r="E34" s="20">
        <f>E33*E31*12/100000000</f>
        <v>0.1999754064</v>
      </c>
      <c r="F34" s="20">
        <f>F33*F31*12/100000000</f>
        <v>0.20842674797999999</v>
      </c>
      <c r="G34" s="20">
        <f>G33*G31*12/100000000</f>
        <v>0.21720519218904003</v>
      </c>
    </row>
    <row r="35" spans="1:7">
      <c r="A35" s="6" t="s">
        <v>44</v>
      </c>
      <c r="B35" s="8" t="s">
        <v>21</v>
      </c>
      <c r="C35" s="20">
        <f>SUM(C26,C34)</f>
        <v>0.648648</v>
      </c>
      <c r="D35" s="20">
        <f>SUM(D26,D34)</f>
        <v>0.67585715999999996</v>
      </c>
      <c r="E35" s="20">
        <f>SUM(E26,E34)</f>
        <v>0.70411508639999998</v>
      </c>
      <c r="F35" s="20">
        <f>SUM(F26,F34)</f>
        <v>0.73346021693999996</v>
      </c>
      <c r="G35" s="20">
        <f>SUM(G26,G34)</f>
        <v>0.76393235173464014</v>
      </c>
    </row>
    <row r="36" spans="1:7">
      <c r="A36" s="6" t="s">
        <v>45</v>
      </c>
      <c r="B36" s="8" t="s">
        <v>21</v>
      </c>
      <c r="C36" s="20">
        <f>C35*$B$9</f>
        <v>3.8918879999999996E-2</v>
      </c>
      <c r="D36" s="20">
        <f>D35*$B$9</f>
        <v>4.0551429599999994E-2</v>
      </c>
      <c r="E36" s="20">
        <f>E35*$B$9</f>
        <v>4.2246905183999997E-2</v>
      </c>
      <c r="F36" s="20">
        <f>F35*$B$9</f>
        <v>4.4007613016399993E-2</v>
      </c>
      <c r="G36" s="20">
        <f>G35*$B$9</f>
        <v>4.5835941104078404E-2</v>
      </c>
    </row>
    <row r="37" spans="1:7">
      <c r="A37" s="6" t="s">
        <v>46</v>
      </c>
      <c r="B37" s="8" t="s">
        <v>21</v>
      </c>
      <c r="C37" s="20">
        <f>C35+C36</f>
        <v>0.68756687999999999</v>
      </c>
      <c r="D37" s="20">
        <f>D35+D36</f>
        <v>0.71640858959999998</v>
      </c>
      <c r="E37" s="20">
        <f>E35+E36</f>
        <v>0.74636199158399996</v>
      </c>
      <c r="F37" s="20">
        <f>F35+F36</f>
        <v>0.77746782995639996</v>
      </c>
      <c r="G37" s="20">
        <f>G35+G36</f>
        <v>0.80976829283871854</v>
      </c>
    </row>
    <row r="38" spans="1:7">
      <c r="A38" s="6" t="s">
        <v>47</v>
      </c>
      <c r="B38" s="8" t="s">
        <v>21</v>
      </c>
      <c r="C38" s="20">
        <f>C37*$B$10</f>
        <v>0.1237620384</v>
      </c>
      <c r="D38" s="20">
        <f>D37*$B$10</f>
        <v>0.128953546128</v>
      </c>
      <c r="E38" s="20">
        <f>E37*$B$10</f>
        <v>0.13434515848511999</v>
      </c>
      <c r="F38" s="20">
        <f>F37*$B$10</f>
        <v>0.13994420939215199</v>
      </c>
      <c r="G38" s="20">
        <f>G37*$B$10</f>
        <v>0.14575829271096932</v>
      </c>
    </row>
    <row r="39" spans="1:7">
      <c r="A39" s="6" t="s">
        <v>48</v>
      </c>
      <c r="B39" s="8" t="s">
        <v>21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</row>
    <row r="40" spans="1:7">
      <c r="A40" t="s">
        <v>49</v>
      </c>
      <c r="B40" s="8" t="s">
        <v>21</v>
      </c>
      <c r="C40" s="20">
        <f>C37-C38-C39</f>
        <v>0.5638048416</v>
      </c>
      <c r="D40" s="20">
        <f>D37-D38-D39</f>
        <v>0.58745504347199995</v>
      </c>
      <c r="E40" s="20">
        <f>E37-E38-E39</f>
        <v>0.61201683309888</v>
      </c>
      <c r="F40" s="20">
        <f>F37-F38-F39</f>
        <v>0.63752362056424794</v>
      </c>
      <c r="G40" s="20">
        <f>G37-G38-G39</f>
        <v>0.66401000012774924</v>
      </c>
    </row>
    <row r="41" spans="1:7">
      <c r="A41" s="6" t="s">
        <v>20</v>
      </c>
      <c r="B41" s="8" t="s">
        <v>21</v>
      </c>
      <c r="C41" s="20">
        <f>$B$11</f>
        <v>0.05</v>
      </c>
      <c r="D41" s="20">
        <f>$B$11</f>
        <v>0.05</v>
      </c>
      <c r="E41" s="20">
        <f>$B$11</f>
        <v>0.05</v>
      </c>
      <c r="F41" s="20">
        <f>$B$11</f>
        <v>0.05</v>
      </c>
      <c r="G41" s="20">
        <f>$B$11</f>
        <v>0.05</v>
      </c>
    </row>
    <row r="42" spans="1:7">
      <c r="A42" s="6" t="s">
        <v>50</v>
      </c>
      <c r="B42" s="8" t="s">
        <v>21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>
      <c r="A43" s="6" t="s">
        <v>51</v>
      </c>
      <c r="B43" s="8" t="s">
        <v>21</v>
      </c>
      <c r="C43" s="20">
        <f>C40-C41-C42</f>
        <v>0.51380484159999995</v>
      </c>
      <c r="D43" s="20">
        <f>D40-D41-D42</f>
        <v>0.5374550434719999</v>
      </c>
      <c r="E43" s="20">
        <f>E40-E41-E42</f>
        <v>0.56201683309887995</v>
      </c>
      <c r="F43" s="20">
        <f>F40-F41-F42</f>
        <v>0.58752362056424789</v>
      </c>
      <c r="G43" s="20">
        <f>G40-G41-G42</f>
        <v>0.6140100001277492</v>
      </c>
    </row>
    <row r="44" spans="1:7">
      <c r="A44" s="6" t="s">
        <v>52</v>
      </c>
      <c r="B44" s="8" t="s">
        <v>21</v>
      </c>
      <c r="C44" s="20">
        <f>MAX(C43,0)*$B$12</f>
        <v>0.12845121039999999</v>
      </c>
      <c r="D44" s="20">
        <f>MAX(D43,0)*$B$12</f>
        <v>0.13436376086799998</v>
      </c>
      <c r="E44" s="20">
        <f>MAX(E43,0)*$B$12</f>
        <v>0.14050420827471999</v>
      </c>
      <c r="F44" s="20">
        <f>MAX(F43,0)*$B$12</f>
        <v>0.14688090514106197</v>
      </c>
      <c r="G44" s="20">
        <f>MAX(G43,0)*$B$12</f>
        <v>0.1535025000319373</v>
      </c>
    </row>
    <row r="45" spans="1:7">
      <c r="A45" s="6" t="s">
        <v>53</v>
      </c>
      <c r="B45" s="8" t="s">
        <v>21</v>
      </c>
      <c r="C45" s="20">
        <f>C43-C44</f>
        <v>0.38535363119999999</v>
      </c>
      <c r="D45" s="20">
        <f>D43-D44</f>
        <v>0.40309128260399996</v>
      </c>
      <c r="E45" s="20">
        <f>E43-E44</f>
        <v>0.42151262482415996</v>
      </c>
      <c r="F45" s="20">
        <f>F43-F44</f>
        <v>0.44064271542318589</v>
      </c>
      <c r="G45" s="20">
        <f>G43-G44</f>
        <v>0.46050750009581187</v>
      </c>
    </row>
    <row r="46" spans="1:7">
      <c r="A46" s="6" t="s">
        <v>54</v>
      </c>
      <c r="B46" s="11" t="s">
        <v>9</v>
      </c>
      <c r="C46" s="21">
        <f>1/(1+$B$13)^(C18-$C$18+1)</f>
        <v>0.9174311926605504</v>
      </c>
      <c r="D46" s="21">
        <f>1/(1+$B$13)^(D18-$C$18+1)</f>
        <v>0.84167999326655996</v>
      </c>
      <c r="E46" s="21">
        <f>1/(1+$B$13)^(E18-$C$18+1)</f>
        <v>0.77218348006106419</v>
      </c>
      <c r="F46" s="21">
        <f>1/(1+$B$13)^(F18-$C$18+1)</f>
        <v>0.7084252110651964</v>
      </c>
      <c r="G46" s="21">
        <f>1/(1+$B$13)^(G18-$C$18+1)</f>
        <v>0.64993138629834524</v>
      </c>
    </row>
    <row r="47" spans="1:7">
      <c r="A47" s="6" t="s">
        <v>55</v>
      </c>
      <c r="B47" s="8" t="s">
        <v>21</v>
      </c>
      <c r="C47" s="20">
        <f>C45*C46</f>
        <v>0.3535354414678899</v>
      </c>
      <c r="D47" s="20">
        <f>D45*D46</f>
        <v>0.33927386802794368</v>
      </c>
      <c r="E47" s="20">
        <f>E45*E46</f>
        <v>0.32548508552639355</v>
      </c>
      <c r="F47" s="20">
        <f>F45*F46</f>
        <v>0.31216240867801176</v>
      </c>
      <c r="G47" s="20">
        <f>G45*G46</f>
        <v>0.29929827793805636</v>
      </c>
    </row>
    <row r="48" spans="1:7">
      <c r="A48" s="6" t="s">
        <v>56</v>
      </c>
      <c r="B48" s="11" t="s">
        <v>7</v>
      </c>
      <c r="C48" s="19">
        <f>$B$14</f>
        <v>6.5000000000000002E-2</v>
      </c>
      <c r="D48" s="19">
        <f>$B$14</f>
        <v>6.5000000000000002E-2</v>
      </c>
      <c r="E48" s="19">
        <f>$B$14</f>
        <v>6.5000000000000002E-2</v>
      </c>
      <c r="F48" s="19">
        <f>$B$14</f>
        <v>6.5000000000000002E-2</v>
      </c>
      <c r="G48" s="19">
        <f>$B$14</f>
        <v>6.5000000000000002E-2</v>
      </c>
    </row>
    <row r="49" spans="1:7">
      <c r="A49" s="6" t="s">
        <v>57</v>
      </c>
      <c r="B49" s="8" t="s">
        <v>21</v>
      </c>
      <c r="C49" s="20" t="s">
        <v>69</v>
      </c>
      <c r="D49" s="20" t="s">
        <v>69</v>
      </c>
      <c r="E49" s="20" t="s">
        <v>69</v>
      </c>
      <c r="F49" s="20" t="s">
        <v>69</v>
      </c>
      <c r="G49" s="20">
        <f>G40*(1+$B$7)</f>
        <v>0.68393030013158174</v>
      </c>
    </row>
    <row r="50" spans="1:7">
      <c r="A50" s="6" t="s">
        <v>58</v>
      </c>
      <c r="B50" s="8" t="s">
        <v>21</v>
      </c>
      <c r="C50" s="20" t="s">
        <v>69</v>
      </c>
      <c r="D50" s="20" t="s">
        <v>69</v>
      </c>
      <c r="E50" s="20" t="s">
        <v>69</v>
      </c>
      <c r="F50" s="20" t="s">
        <v>69</v>
      </c>
      <c r="G50" s="20">
        <f>G49/G48</f>
        <v>10.52200461740895</v>
      </c>
    </row>
    <row r="51" spans="1:7">
      <c r="A51" s="6" t="s">
        <v>59</v>
      </c>
      <c r="B51" s="8" t="s">
        <v>21</v>
      </c>
      <c r="C51" s="20" t="s">
        <v>69</v>
      </c>
      <c r="D51" s="20" t="s">
        <v>69</v>
      </c>
      <c r="E51" s="20" t="s">
        <v>69</v>
      </c>
      <c r="F51" s="20" t="s">
        <v>69</v>
      </c>
      <c r="G51" s="20">
        <f>G50*G46</f>
        <v>6.8385810476301883</v>
      </c>
    </row>
    <row r="52" spans="1:7" ht="16">
      <c r="A52" s="5" t="s">
        <v>72</v>
      </c>
      <c r="B52" s="5"/>
      <c r="C52" s="22">
        <f>SUM(C47:G47)</f>
        <v>1.6297550816382953</v>
      </c>
      <c r="D52" s="2"/>
      <c r="E52" s="2"/>
      <c r="F52" s="2"/>
      <c r="G52" s="2"/>
    </row>
    <row r="53" spans="1:7" ht="15" customHeight="1">
      <c r="A53" s="5" t="s">
        <v>71</v>
      </c>
      <c r="B53" s="5"/>
      <c r="C53" s="22">
        <f>SUM(C47:G47)+G51</f>
        <v>8.4683361292684829</v>
      </c>
    </row>
    <row r="55" spans="1:7" ht="30" customHeight="1">
      <c r="A55" s="5" t="s">
        <v>61</v>
      </c>
      <c r="B55" s="5"/>
      <c r="C55" s="5"/>
      <c r="D55" s="5"/>
      <c r="E55" s="5"/>
      <c r="F55" s="5"/>
      <c r="G55" s="5"/>
    </row>
    <row r="57" spans="1:7" ht="16">
      <c r="A57" s="17" t="s">
        <v>70</v>
      </c>
    </row>
    <row r="58" spans="1:7">
      <c r="A58" s="6" t="s">
        <v>27</v>
      </c>
      <c r="B58" s="11" t="s">
        <v>7</v>
      </c>
      <c r="C58" s="14">
        <v>5.5E-2</v>
      </c>
      <c r="D58" s="14">
        <v>0.06</v>
      </c>
      <c r="E58" s="14">
        <v>6.5000000000000002E-2</v>
      </c>
      <c r="F58" s="14">
        <v>7.0000000000000007E-2</v>
      </c>
      <c r="G58" s="14">
        <v>7.4999999999999997E-2</v>
      </c>
    </row>
    <row r="59" spans="1:7">
      <c r="A59" s="6" t="s">
        <v>60</v>
      </c>
      <c r="B59" s="8" t="s">
        <v>21</v>
      </c>
      <c r="C59" s="20">
        <f>SUM($C$47:$G$47)+($G$49/C58)*$G$46</f>
        <v>9.7117145015648827</v>
      </c>
      <c r="D59" s="20">
        <f>SUM($C$47:$G$47)+($G$49/D58)*$G$46</f>
        <v>9.0382178832376656</v>
      </c>
      <c r="E59" s="20">
        <f>SUM($C$47:$G$47)+($G$49/E58)*$G$46</f>
        <v>8.4683361292684829</v>
      </c>
      <c r="F59" s="20">
        <f>SUM($C$47:$G$47)+($G$49/F58)*$G$46</f>
        <v>7.9798660544377551</v>
      </c>
      <c r="G59" s="20">
        <f>SUM($C$47:$G$47)+($G$49/G58)*$G$46</f>
        <v>7.5565253229177918</v>
      </c>
    </row>
    <row r="61" spans="1:7" ht="30" customHeight="1">
      <c r="A61" s="1" t="s">
        <v>62</v>
      </c>
      <c r="B61" s="1"/>
      <c r="C61" s="1"/>
      <c r="D61" s="1"/>
      <c r="E61" s="1"/>
      <c r="F61" s="1"/>
      <c r="G61" s="1"/>
    </row>
    <row r="65" spans="1:7" ht="30" customHeight="1">
      <c r="A65" s="1" t="s">
        <v>63</v>
      </c>
      <c r="B65" s="1"/>
      <c r="C65" s="1"/>
      <c r="D65" s="1"/>
      <c r="E65" s="1"/>
      <c r="F65" s="1"/>
      <c r="G65" s="1"/>
    </row>
  </sheetData>
  <mergeCells count="12">
    <mergeCell ref="A52:B52"/>
    <mergeCell ref="D52:G52"/>
    <mergeCell ref="A55:G55"/>
    <mergeCell ref="A61:G61"/>
    <mergeCell ref="A65:G65"/>
    <mergeCell ref="A53:B53"/>
    <mergeCell ref="A1:J1"/>
    <mergeCell ref="A3:D3"/>
    <mergeCell ref="F3:J3"/>
    <mergeCell ref="A16:J16"/>
    <mergeCell ref="A17:G17"/>
    <mergeCell ref="I17:J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L市仓储物流园估值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松 陈</cp:lastModifiedBy>
  <dcterms:created xsi:type="dcterms:W3CDTF">2026-04-06T10:43:33Z</dcterms:created>
  <dcterms:modified xsi:type="dcterms:W3CDTF">2026-04-06T10:43:33Z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2026-03-24T20:17:58Z</dcterms:created>
  <dc:creator>openpyxl</dc:creator>
  <dc:description/>
  <dc:language>en-US</dc:language>
  <cp:lastModifiedBy/>
  <dcterms:modified xsi:type="dcterms:W3CDTF">2026-03-24T20:17:58Z</dcterms:modified>
  <cp:revision>0</cp:revision>
  <dc:subject/>
  <dc:title/>
</cp:coreProperties>
</file>