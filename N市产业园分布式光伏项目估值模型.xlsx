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hdp/Desktop/CN_Asset/"/>
    </mc:Choice>
  </mc:AlternateContent>
  <xr:revisionPtr revIDLastSave="0" documentId="8_{AF31C3FF-03DE-0E47-968D-4CA428A6BF36}" xr6:coauthVersionLast="47" xr6:coauthVersionMax="47" xr10:uidLastSave="{00000000-0000-0000-0000-000000000000}"/>
  <bookViews>
    <workbookView xWindow="0" yWindow="860" windowWidth="38400" windowHeight="23020" xr2:uid="{00000000-000D-0000-FFFF-FFFF00000000}"/>
  </bookViews>
  <sheets>
    <sheet name="N市分布式光伏估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 l="1"/>
  <c r="G64" i="1" s="1"/>
  <c r="C66" i="1" s="1"/>
  <c r="C65" i="1"/>
  <c r="G62" i="1"/>
  <c r="D42" i="1"/>
  <c r="C44" i="1"/>
  <c r="D46" i="1"/>
  <c r="C58" i="1"/>
  <c r="C50" i="1"/>
  <c r="C52" i="1"/>
  <c r="C55" i="1"/>
  <c r="C56" i="1"/>
  <c r="C46" i="1"/>
  <c r="C43" i="1"/>
  <c r="C48" i="1"/>
  <c r="G26" i="1"/>
  <c r="G60" i="1"/>
  <c r="F60" i="1"/>
  <c r="E60" i="1"/>
  <c r="D60" i="1"/>
  <c r="C60" i="1"/>
  <c r="G48" i="1"/>
  <c r="F48" i="1"/>
  <c r="E48" i="1"/>
  <c r="D48" i="1"/>
  <c r="C47" i="1"/>
  <c r="E41" i="1"/>
  <c r="F41" i="1" s="1"/>
  <c r="G41" i="1" s="1"/>
  <c r="D41" i="1"/>
  <c r="C41" i="1"/>
  <c r="C40" i="1"/>
  <c r="D40" i="1" s="1"/>
  <c r="E40" i="1" s="1"/>
  <c r="F40" i="1" s="1"/>
  <c r="G40" i="1" s="1"/>
  <c r="C34" i="1"/>
  <c r="D34" i="1" s="1"/>
  <c r="E34" i="1" s="1"/>
  <c r="F34" i="1" s="1"/>
  <c r="G34" i="1" s="1"/>
  <c r="E32" i="1"/>
  <c r="F32" i="1" s="1"/>
  <c r="G32" i="1" s="1"/>
  <c r="D32" i="1"/>
  <c r="C32" i="1"/>
  <c r="F30" i="1"/>
  <c r="E30" i="1"/>
  <c r="D30" i="1"/>
  <c r="C30" i="1"/>
  <c r="G29" i="1"/>
  <c r="G30" i="1" s="1"/>
  <c r="F29" i="1"/>
  <c r="E29" i="1"/>
  <c r="D29" i="1"/>
  <c r="C29" i="1"/>
  <c r="C26" i="1"/>
  <c r="D26" i="1" s="1"/>
  <c r="E26" i="1" s="1"/>
  <c r="F26" i="1" s="1"/>
  <c r="G24" i="1"/>
  <c r="F24" i="1"/>
  <c r="G23" i="1"/>
  <c r="F23" i="1"/>
  <c r="E23" i="1"/>
  <c r="E24" i="1" s="1"/>
  <c r="D23" i="1"/>
  <c r="C23" i="1"/>
  <c r="G22" i="1"/>
  <c r="F22" i="1"/>
  <c r="E22" i="1"/>
  <c r="D22" i="1"/>
  <c r="D24" i="1" s="1"/>
  <c r="D27" i="1" s="1"/>
  <c r="C22" i="1"/>
  <c r="C24" i="1" s="1"/>
  <c r="C27" i="1" s="1"/>
  <c r="G12" i="1"/>
  <c r="B12" i="1"/>
  <c r="E43" i="1" s="1"/>
  <c r="E47" i="1" s="1"/>
  <c r="G7" i="1"/>
  <c r="L5" i="1"/>
  <c r="L10" i="1" s="1"/>
  <c r="B4" i="1"/>
  <c r="D36" i="1" l="1"/>
  <c r="D38" i="1" s="1"/>
  <c r="D35" i="1"/>
  <c r="D37" i="1" s="1"/>
  <c r="D39" i="1" s="1"/>
  <c r="F27" i="1"/>
  <c r="G27" i="1"/>
  <c r="E27" i="1"/>
  <c r="C36" i="1"/>
  <c r="C38" i="1" s="1"/>
  <c r="C35" i="1"/>
  <c r="C37" i="1" s="1"/>
  <c r="C39" i="1" s="1"/>
  <c r="C42" i="1" s="1"/>
  <c r="F43" i="1"/>
  <c r="F47" i="1" s="1"/>
  <c r="G43" i="1"/>
  <c r="G47" i="1" s="1"/>
  <c r="L9" i="1"/>
  <c r="D43" i="1"/>
  <c r="D47" i="1" s="1"/>
  <c r="C45" i="1" l="1"/>
  <c r="C61" i="1"/>
  <c r="G35" i="1"/>
  <c r="G37" i="1" s="1"/>
  <c r="G36" i="1"/>
  <c r="G38" i="1" s="1"/>
  <c r="F35" i="1"/>
  <c r="F37" i="1" s="1"/>
  <c r="F36" i="1"/>
  <c r="F38" i="1" s="1"/>
  <c r="G52" i="1"/>
  <c r="F52" i="1"/>
  <c r="D52" i="1"/>
  <c r="C51" i="1"/>
  <c r="E52" i="1"/>
  <c r="E35" i="1"/>
  <c r="E37" i="1" s="1"/>
  <c r="E36" i="1"/>
  <c r="E38" i="1" s="1"/>
  <c r="D44" i="1"/>
  <c r="F39" i="1" l="1"/>
  <c r="F42" i="1" s="1"/>
  <c r="F44" i="1" s="1"/>
  <c r="D45" i="1"/>
  <c r="D50" i="1" s="1"/>
  <c r="D61" i="1" s="1"/>
  <c r="E39" i="1"/>
  <c r="E42" i="1" s="1"/>
  <c r="E44" i="1" s="1"/>
  <c r="C53" i="1"/>
  <c r="C54" i="1"/>
  <c r="D51" i="1" s="1"/>
  <c r="G39" i="1"/>
  <c r="G42" i="1" s="1"/>
  <c r="G44" i="1" s="1"/>
  <c r="C57" i="1"/>
  <c r="C59" i="1" s="1"/>
  <c r="D53" i="1" l="1"/>
  <c r="D54" i="1"/>
  <c r="E51" i="1" s="1"/>
  <c r="E45" i="1"/>
  <c r="E46" i="1"/>
  <c r="E50" i="1" s="1"/>
  <c r="E61" i="1" s="1"/>
  <c r="G45" i="1"/>
  <c r="G46" i="1"/>
  <c r="G50" i="1" s="1"/>
  <c r="F45" i="1"/>
  <c r="F46" i="1"/>
  <c r="F50" i="1" s="1"/>
  <c r="F61" i="1" s="1"/>
  <c r="G61" i="1" l="1"/>
  <c r="E54" i="1"/>
  <c r="F51" i="1" s="1"/>
  <c r="E53" i="1"/>
  <c r="D55" i="1"/>
  <c r="D57" i="1"/>
  <c r="D59" i="1" s="1"/>
  <c r="D56" i="1" l="1"/>
  <c r="D58" i="1" s="1"/>
  <c r="E57" i="1"/>
  <c r="E59" i="1" s="1"/>
  <c r="E55" i="1"/>
  <c r="F54" i="1"/>
  <c r="G51" i="1" s="1"/>
  <c r="F53" i="1"/>
  <c r="F57" i="1" l="1"/>
  <c r="F59" i="1" s="1"/>
  <c r="F55" i="1"/>
  <c r="G54" i="1"/>
  <c r="G53" i="1"/>
  <c r="E56" i="1"/>
  <c r="E58" i="1" s="1"/>
  <c r="G57" i="1" l="1"/>
  <c r="G59" i="1" s="1"/>
  <c r="G55" i="1"/>
  <c r="F56" i="1"/>
  <c r="F58" i="1" s="1"/>
  <c r="G56" i="1" l="1"/>
  <c r="G5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折旧会影响利润与税收，但不构成当期现金流流出，因此在现金流层面单独回加。</t>
        </r>
      </text>
    </comment>
    <comment ref="A5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FCFF 为项目自由现金流，用于项目估值与 DSCR 观察。</t>
        </r>
      </text>
    </comment>
    <comment ref="A5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FCFE 为融资后股权现金流，已扣除本金偿还。</t>
        </r>
      </text>
    </comment>
  </commentList>
</comments>
</file>

<file path=xl/sharedStrings.xml><?xml version="1.0" encoding="utf-8"?>
<sst xmlns="http://schemas.openxmlformats.org/spreadsheetml/2006/main" count="160" uniqueCount="87">
  <si>
    <t>N市产业园分布式光伏项目估值模型</t>
  </si>
  <si>
    <t>初始假设区域</t>
  </si>
  <si>
    <t>发电结构与设备假设区</t>
  </si>
  <si>
    <t>融资结构假设区</t>
  </si>
  <si>
    <t>装机容量</t>
  </si>
  <si>
    <t>MW</t>
  </si>
  <si>
    <t>屋顶电站容量</t>
  </si>
  <si>
    <t>LTV（债务占总投资比）</t>
  </si>
  <si>
    <t>%</t>
  </si>
  <si>
    <t>首年年利用小时</t>
  </si>
  <si>
    <t>小时</t>
  </si>
  <si>
    <t>车棚电站容量</t>
  </si>
  <si>
    <t>资本金比例</t>
  </si>
  <si>
    <t>年发电衰减率</t>
  </si>
  <si>
    <t>自发自用比例</t>
  </si>
  <si>
    <t>贷款利率</t>
  </si>
  <si>
    <t>电价年增长率</t>
  </si>
  <si>
    <t>余电上网比例</t>
  </si>
  <si>
    <t>贷款期限</t>
  </si>
  <si>
    <t>年</t>
  </si>
  <si>
    <t>首年运维成本</t>
  </si>
  <si>
    <t>亿元</t>
  </si>
  <si>
    <t>自发自用电价</t>
  </si>
  <si>
    <t>元/kWh</t>
  </si>
  <si>
    <t>还本方式</t>
  </si>
  <si>
    <t>等额本金</t>
  </si>
  <si>
    <t>运维成本年增长率</t>
  </si>
  <si>
    <t>余电上网电价</t>
  </si>
  <si>
    <t>期初债务</t>
  </si>
  <si>
    <t>保险及管理费</t>
  </si>
  <si>
    <t>折旧年限</t>
  </si>
  <si>
    <t>期初资本金</t>
  </si>
  <si>
    <t>年常规资本支出</t>
  </si>
  <si>
    <t>残值率</t>
  </si>
  <si>
    <t>初始总投资</t>
  </si>
  <si>
    <t>加权平均售电单价</t>
  </si>
  <si>
    <t>税率</t>
  </si>
  <si>
    <t>贴现率</t>
  </si>
  <si>
    <t>预测期</t>
  </si>
  <si>
    <t>终值长期增长率</t>
  </si>
  <si>
    <t>说明：黄色单元格为输入项，绿色单元格为联动计算项。主模型同时展示项目自由现金流（FCFF）与融资后的股权现金流（FCFE）。折旧仅作用于利润与税收测算，不构成当期现金流流出，因此在现金流层面通过“折旧回加（非现金）”单独体现。</t>
  </si>
  <si>
    <t>年度估值明细（主模型）</t>
  </si>
  <si>
    <t>项目行</t>
  </si>
  <si>
    <t>单位</t>
  </si>
  <si>
    <t>总装机容量</t>
  </si>
  <si>
    <t>利用小时变化系数</t>
  </si>
  <si>
    <t>利用小时</t>
  </si>
  <si>
    <t>发电量</t>
  </si>
  <si>
    <t>万kWh</t>
  </si>
  <si>
    <t>自发自用比例变化系数</t>
  </si>
  <si>
    <t>自发自用电价变化系数</t>
  </si>
  <si>
    <t>余电上网电价变化系数</t>
  </si>
  <si>
    <t>自发自用电量</t>
  </si>
  <si>
    <t>余电上网电量</t>
  </si>
  <si>
    <t>自发自用收入</t>
  </si>
  <si>
    <t>余电上网收入</t>
  </si>
  <si>
    <t>发电收入合计</t>
  </si>
  <si>
    <t>运维成本</t>
  </si>
  <si>
    <t>EBITDA</t>
  </si>
  <si>
    <t>年折旧</t>
  </si>
  <si>
    <t>EBIT</t>
  </si>
  <si>
    <t>项目税（不含融资）</t>
  </si>
  <si>
    <t>NOPAT</t>
  </si>
  <si>
    <t>折旧回加（非现金）</t>
  </si>
  <si>
    <t>额外资本支出</t>
  </si>
  <si>
    <t>项目自由现金流 FCFF</t>
  </si>
  <si>
    <t>期初债务余额</t>
  </si>
  <si>
    <t>偿还本金</t>
  </si>
  <si>
    <t>利息支出</t>
  </si>
  <si>
    <t>期末债务余额</t>
  </si>
  <si>
    <t>融资后税前利润 EBT</t>
  </si>
  <si>
    <t>现金税（融资后）</t>
  </si>
  <si>
    <t>债务服务额</t>
  </si>
  <si>
    <t>股权现金流 FCFE</t>
  </si>
  <si>
    <t>债务服务覆盖倍数 DSCR</t>
  </si>
  <si>
    <t>x</t>
  </si>
  <si>
    <t>折现因子</t>
  </si>
  <si>
    <t>折现值（FCFF）</t>
  </si>
  <si>
    <t>第6年FCFF</t>
  </si>
  <si>
    <t>期末终值（剩余寿命）</t>
  </si>
  <si>
    <t>终值折现值</t>
  </si>
  <si>
    <t>股权参考价值（项目现值-期初债务）</t>
  </si>
  <si>
    <t>Excel图表占位区 1：主模型 FCFF / FCFE / DSCR 展示</t>
  </si>
  <si>
    <t>Excel图表占位区 2：利用小时 / 电价 / 自发自用比例扰动对项目价值的影响</t>
  </si>
  <si>
    <t>Excel图表占位区 3：衰减率 / 贴现率 / 终值假设对项目价值的影响</t>
  </si>
  <si>
    <t>-</t>
  </si>
  <si>
    <t>五年收费权项目现值（亿元）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</si>
</sst>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;[Red]\(0.000\);\-"/>
    <numFmt numFmtId="166" formatCode="0.000"/>
    <numFmt numFmtId="167" formatCode="#,##0.0"/>
    <numFmt numFmtId="168" formatCode="0.00\x;[Red]\(0.00\x\);\-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8000"/>
      <name val="Calibri"/>
      <family val="2"/>
    </font>
    <font>
      <sz val="11"/>
      <color rgb="FF0000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b/>
      <u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5" fontId="4" fillId="3" borderId="0" xfId="0" applyNumberFormat="1" applyFont="1" applyFill="1" applyAlignment="1">
      <alignment horizontal="right" vertical="center"/>
    </xf>
    <xf numFmtId="166" fontId="4" fillId="3" borderId="0" xfId="0" applyNumberFormat="1" applyFont="1" applyFill="1" applyAlignment="1">
      <alignment horizontal="right" vertical="center"/>
    </xf>
    <xf numFmtId="0" fontId="3" fillId="6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7" fontId="7" fillId="0" borderId="1" xfId="0" applyNumberFormat="1" applyFont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8" fontId="7" fillId="7" borderId="1" xfId="0" applyNumberFormat="1" applyFont="1" applyFill="1" applyBorder="1" applyAlignment="1">
      <alignment horizontal="right" vertical="center"/>
    </xf>
    <xf numFmtId="168" fontId="7" fillId="0" borderId="1" xfId="0" applyNumberFormat="1" applyFont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6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right" vertical="center"/>
    </xf>
    <xf numFmtId="165" fontId="10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FCFF </a:t>
            </a:r>
            <a:r>
              <a:rPr lang="zh-CN" altLang="en-US"/>
              <a:t>与 </a:t>
            </a:r>
            <a:r>
              <a:rPr lang="en-US"/>
              <a:t>FCFE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N市分布式光伏估值!$C$21:$G$21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N市分布式光伏估值!$C$50:$G$50</c:f>
              <c:numCache>
                <c:formatCode>0.000;[Red]\(0.000\);\-</c:formatCode>
                <c:ptCount val="5"/>
                <c:pt idx="0">
                  <c:v>4.5697499999999995E-2</c:v>
                </c:pt>
                <c:pt idx="1">
                  <c:v>4.5699402E-2</c:v>
                </c:pt>
                <c:pt idx="2">
                  <c:v>4.5697024164899992E-2</c:v>
                </c:pt>
                <c:pt idx="3">
                  <c:v>4.569025952451624E-2</c:v>
                </c:pt>
                <c:pt idx="4">
                  <c:v>4.5678998863462605E-2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2A-A248-9A48-1EF0CA0821A9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numRef>
              <c:f>N市分布式光伏估值!$C$21:$G$21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N市分布式光伏估值!$C$58:$G$58</c:f>
              <c:numCache>
                <c:formatCode>0.000;[Red]\(0.000\);\-</c:formatCode>
                <c:ptCount val="5"/>
                <c:pt idx="0">
                  <c:v>1.8082499999999991E-2</c:v>
                </c:pt>
                <c:pt idx="1">
                  <c:v>1.8745901999999998E-2</c:v>
                </c:pt>
                <c:pt idx="2">
                  <c:v>1.9405024164899993E-2</c:v>
                </c:pt>
                <c:pt idx="3">
                  <c:v>2.0059759524516236E-2</c:v>
                </c:pt>
                <c:pt idx="4">
                  <c:v>2.0709998863462604E-2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2A-A248-9A48-1EF0CA082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亿元</a:t>
                </a:r>
              </a:p>
            </c:rich>
          </c:tx>
          <c:overlay val="1"/>
        </c:title>
        <c:numFmt formatCode="0.000;[Red]\(0.0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DSCR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N市分布式光伏估值!$C$21:$G$21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N市分布式光伏估值!$C$59:$G$59</c:f>
              <c:numCache>
                <c:formatCode>0.00\x;[Red]\(0.00\x\);\-</c:formatCode>
                <c:ptCount val="5"/>
                <c:pt idx="0">
                  <c:v>1.5324446680080479</c:v>
                </c:pt>
                <c:pt idx="1">
                  <c:v>1.5792177068214801</c:v>
                </c:pt>
                <c:pt idx="2">
                  <c:v>1.6287790192792979</c:v>
                </c:pt>
                <c:pt idx="3">
                  <c:v>1.6813961700344533</c:v>
                </c:pt>
                <c:pt idx="4">
                  <c:v>1.7373725415891754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C8-5246-80ED-1A9E6164D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0.00\x;[Red]\(0.00\x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70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70</xdr:row>
      <xdr:rowOff>0</xdr:rowOff>
    </xdr:from>
    <xdr:ext cx="28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showGridLines="0" tabSelected="1" workbookViewId="0">
      <pane xSplit="2" ySplit="21" topLeftCell="C49" activePane="bottomRight" state="frozen"/>
      <selection pane="topRight"/>
      <selection pane="bottomLeft"/>
      <selection pane="bottomRight" activeCell="J52" sqref="J52"/>
    </sheetView>
  </sheetViews>
  <sheetFormatPr baseColWidth="10" defaultColWidth="8.83203125" defaultRowHeight="15" x14ac:dyDescent="0.2"/>
  <cols>
    <col min="1" max="1" width="30" customWidth="1"/>
    <col min="2" max="7" width="12" customWidth="1"/>
    <col min="8" max="8" width="4" customWidth="1"/>
    <col min="9" max="9" width="18" customWidth="1"/>
    <col min="10" max="10" width="14" customWidth="1"/>
    <col min="11" max="11" width="17" customWidth="1"/>
    <col min="12" max="12" width="14" customWidth="1"/>
    <col min="13" max="13" width="12" customWidth="1"/>
  </cols>
  <sheetData>
    <row r="1" spans="1:13" ht="24" customHeight="1" x14ac:dyDescent="0.2">
      <c r="A1" s="31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20" customHeight="1" x14ac:dyDescent="0.2"/>
    <row r="3" spans="1:13" ht="20" customHeight="1" x14ac:dyDescent="0.2">
      <c r="A3" s="33" t="s">
        <v>1</v>
      </c>
      <c r="B3" s="30"/>
      <c r="C3" s="30"/>
      <c r="F3" s="33" t="s">
        <v>2</v>
      </c>
      <c r="G3" s="30"/>
      <c r="H3" s="30"/>
      <c r="K3" s="33" t="s">
        <v>3</v>
      </c>
      <c r="L3" s="30"/>
      <c r="M3" s="30"/>
    </row>
    <row r="4" spans="1:13" ht="20" customHeight="1" x14ac:dyDescent="0.2">
      <c r="A4" s="1" t="s">
        <v>4</v>
      </c>
      <c r="B4" s="2">
        <f>SUM($G$4:$G$5)</f>
        <v>10</v>
      </c>
      <c r="C4" t="s">
        <v>5</v>
      </c>
      <c r="F4" s="1" t="s">
        <v>6</v>
      </c>
      <c r="G4" s="3">
        <v>7</v>
      </c>
      <c r="H4" t="s">
        <v>5</v>
      </c>
      <c r="K4" s="1" t="s">
        <v>7</v>
      </c>
      <c r="L4" s="4">
        <v>0.5</v>
      </c>
      <c r="M4" t="s">
        <v>8</v>
      </c>
    </row>
    <row r="5" spans="1:13" ht="20" customHeight="1" x14ac:dyDescent="0.2">
      <c r="A5" s="1" t="s">
        <v>9</v>
      </c>
      <c r="B5" s="3">
        <v>1150</v>
      </c>
      <c r="C5" t="s">
        <v>10</v>
      </c>
      <c r="F5" s="1" t="s">
        <v>11</v>
      </c>
      <c r="G5" s="3">
        <v>3</v>
      </c>
      <c r="H5" t="s">
        <v>5</v>
      </c>
      <c r="K5" s="1" t="s">
        <v>12</v>
      </c>
      <c r="L5" s="5">
        <f>1-L4</f>
        <v>0.5</v>
      </c>
      <c r="M5" t="s">
        <v>8</v>
      </c>
    </row>
    <row r="6" spans="1:13" ht="20" customHeight="1" x14ac:dyDescent="0.2">
      <c r="A6" s="1" t="s">
        <v>13</v>
      </c>
      <c r="B6" s="4">
        <v>5.0000000000000001E-3</v>
      </c>
      <c r="F6" s="1" t="s">
        <v>14</v>
      </c>
      <c r="G6" s="4">
        <v>0.7</v>
      </c>
      <c r="K6" s="1" t="s">
        <v>15</v>
      </c>
      <c r="L6" s="4">
        <v>4.2000000000000003E-2</v>
      </c>
      <c r="M6" t="s">
        <v>8</v>
      </c>
    </row>
    <row r="7" spans="1:13" ht="20" customHeight="1" x14ac:dyDescent="0.2">
      <c r="A7" s="1" t="s">
        <v>16</v>
      </c>
      <c r="B7" s="4">
        <v>0.01</v>
      </c>
      <c r="F7" s="1" t="s">
        <v>17</v>
      </c>
      <c r="G7" s="5">
        <f>1-G6</f>
        <v>0.30000000000000004</v>
      </c>
      <c r="K7" s="1" t="s">
        <v>18</v>
      </c>
      <c r="L7" s="3">
        <v>10</v>
      </c>
      <c r="M7" t="s">
        <v>19</v>
      </c>
    </row>
    <row r="8" spans="1:13" ht="20" customHeight="1" x14ac:dyDescent="0.2">
      <c r="A8" s="1" t="s">
        <v>20</v>
      </c>
      <c r="B8" s="6">
        <v>1.4999999999999999E-2</v>
      </c>
      <c r="C8" t="s">
        <v>21</v>
      </c>
      <c r="F8" s="1" t="s">
        <v>22</v>
      </c>
      <c r="G8" s="7">
        <v>0.78</v>
      </c>
      <c r="H8" t="s">
        <v>23</v>
      </c>
      <c r="K8" s="1" t="s">
        <v>24</v>
      </c>
      <c r="L8" s="3" t="s">
        <v>25</v>
      </c>
    </row>
    <row r="9" spans="1:13" ht="20" customHeight="1" x14ac:dyDescent="0.2">
      <c r="A9" s="1" t="s">
        <v>26</v>
      </c>
      <c r="B9" s="3">
        <v>0.02</v>
      </c>
      <c r="F9" s="1" t="s">
        <v>27</v>
      </c>
      <c r="G9" s="7">
        <v>0.42</v>
      </c>
      <c r="H9" t="s">
        <v>23</v>
      </c>
      <c r="K9" s="1" t="s">
        <v>28</v>
      </c>
      <c r="L9" s="8">
        <f>B12*L4</f>
        <v>0.21000000000000002</v>
      </c>
      <c r="M9" t="s">
        <v>21</v>
      </c>
    </row>
    <row r="10" spans="1:13" ht="20" customHeight="1" x14ac:dyDescent="0.2">
      <c r="A10" s="1" t="s">
        <v>29</v>
      </c>
      <c r="B10" s="6">
        <v>4.0000000000000001E-3</v>
      </c>
      <c r="C10" t="s">
        <v>21</v>
      </c>
      <c r="F10" s="1" t="s">
        <v>30</v>
      </c>
      <c r="G10" s="3">
        <v>20</v>
      </c>
      <c r="H10" t="s">
        <v>19</v>
      </c>
      <c r="K10" s="1" t="s">
        <v>31</v>
      </c>
      <c r="L10" s="8">
        <f>B12*L5</f>
        <v>0.21000000000000002</v>
      </c>
      <c r="M10" t="s">
        <v>21</v>
      </c>
    </row>
    <row r="11" spans="1:13" ht="20" customHeight="1" x14ac:dyDescent="0.2">
      <c r="A11" s="1" t="s">
        <v>32</v>
      </c>
      <c r="B11" s="6">
        <v>3.0000000000000001E-3</v>
      </c>
      <c r="C11" t="s">
        <v>21</v>
      </c>
      <c r="F11" s="1" t="s">
        <v>33</v>
      </c>
      <c r="G11" s="4">
        <v>0.05</v>
      </c>
    </row>
    <row r="12" spans="1:13" ht="20" customHeight="1" x14ac:dyDescent="0.2">
      <c r="A12" s="1" t="s">
        <v>34</v>
      </c>
      <c r="B12" s="8">
        <f>B4*0.042</f>
        <v>0.42000000000000004</v>
      </c>
      <c r="C12" t="s">
        <v>21</v>
      </c>
      <c r="F12" s="1" t="s">
        <v>35</v>
      </c>
      <c r="G12" s="9">
        <f>SUMPRODUCT(G6:G7,G8:G9)</f>
        <v>0.67199999999999993</v>
      </c>
      <c r="H12" t="s">
        <v>23</v>
      </c>
    </row>
    <row r="13" spans="1:13" ht="20" customHeight="1" x14ac:dyDescent="0.2">
      <c r="A13" s="1" t="s">
        <v>36</v>
      </c>
      <c r="B13" s="4">
        <v>0.25</v>
      </c>
    </row>
    <row r="14" spans="1:13" ht="20" customHeight="1" x14ac:dyDescent="0.2">
      <c r="A14" s="1" t="s">
        <v>37</v>
      </c>
      <c r="B14" s="4">
        <v>8.5000000000000006E-2</v>
      </c>
    </row>
    <row r="15" spans="1:13" ht="20" customHeight="1" x14ac:dyDescent="0.2">
      <c r="A15" s="1" t="s">
        <v>38</v>
      </c>
      <c r="B15" s="3">
        <v>5</v>
      </c>
      <c r="C15" t="s">
        <v>19</v>
      </c>
    </row>
    <row r="16" spans="1:13" ht="20" customHeight="1" x14ac:dyDescent="0.2">
      <c r="A16" s="1" t="s">
        <v>39</v>
      </c>
      <c r="B16" s="4">
        <v>0</v>
      </c>
    </row>
    <row r="17" spans="1:13" ht="20" customHeight="1" x14ac:dyDescent="0.2"/>
    <row r="18" spans="1:13" ht="42" customHeight="1" x14ac:dyDescent="0.2">
      <c r="A18" s="32" t="s">
        <v>40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ht="20" customHeight="1" x14ac:dyDescent="0.2"/>
    <row r="20" spans="1:13" ht="20" customHeight="1" x14ac:dyDescent="0.2">
      <c r="A20" s="33" t="s">
        <v>41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spans="1:13" ht="20" customHeight="1" x14ac:dyDescent="0.2">
      <c r="A21" s="10" t="s">
        <v>42</v>
      </c>
      <c r="B21" s="10" t="s">
        <v>43</v>
      </c>
      <c r="C21" s="10">
        <v>2026</v>
      </c>
      <c r="D21" s="10">
        <v>2027</v>
      </c>
      <c r="E21" s="10">
        <v>2028</v>
      </c>
      <c r="F21" s="10">
        <v>2029</v>
      </c>
      <c r="G21" s="10">
        <v>2030</v>
      </c>
    </row>
    <row r="22" spans="1:13" ht="20" customHeight="1" x14ac:dyDescent="0.2">
      <c r="A22" s="11" t="s">
        <v>6</v>
      </c>
      <c r="B22" s="12" t="s">
        <v>5</v>
      </c>
      <c r="C22" s="13">
        <f>$G$4</f>
        <v>7</v>
      </c>
      <c r="D22" s="13">
        <f>$G$4</f>
        <v>7</v>
      </c>
      <c r="E22" s="13">
        <f>$G$4</f>
        <v>7</v>
      </c>
      <c r="F22" s="13">
        <f>$G$4</f>
        <v>7</v>
      </c>
      <c r="G22" s="13">
        <f>$G$4</f>
        <v>7</v>
      </c>
      <c r="I22" s="32"/>
      <c r="J22" s="30"/>
      <c r="K22" s="30"/>
      <c r="L22" s="30"/>
      <c r="M22" s="30"/>
    </row>
    <row r="23" spans="1:13" ht="20" customHeight="1" x14ac:dyDescent="0.2">
      <c r="A23" s="11" t="s">
        <v>11</v>
      </c>
      <c r="B23" s="12" t="s">
        <v>5</v>
      </c>
      <c r="C23" s="13">
        <f>$G$5</f>
        <v>3</v>
      </c>
      <c r="D23" s="13">
        <f>$G$5</f>
        <v>3</v>
      </c>
      <c r="E23" s="13">
        <f>$G$5</f>
        <v>3</v>
      </c>
      <c r="F23" s="13">
        <f>$G$5</f>
        <v>3</v>
      </c>
      <c r="G23" s="13">
        <f>$G$5</f>
        <v>3</v>
      </c>
      <c r="I23" s="30"/>
      <c r="J23" s="30"/>
      <c r="K23" s="30"/>
      <c r="L23" s="30"/>
      <c r="M23" s="30"/>
    </row>
    <row r="24" spans="1:13" ht="20" customHeight="1" x14ac:dyDescent="0.2">
      <c r="A24" s="11" t="s">
        <v>44</v>
      </c>
      <c r="B24" s="12" t="s">
        <v>5</v>
      </c>
      <c r="C24" s="13">
        <f>C22+C23</f>
        <v>10</v>
      </c>
      <c r="D24" s="13">
        <f>D22+D23</f>
        <v>10</v>
      </c>
      <c r="E24" s="13">
        <f>E22+E23</f>
        <v>10</v>
      </c>
      <c r="F24" s="13">
        <f>F22+F23</f>
        <v>10</v>
      </c>
      <c r="G24" s="13">
        <f>G22+G23</f>
        <v>10</v>
      </c>
      <c r="I24" s="30"/>
      <c r="J24" s="30"/>
      <c r="K24" s="30"/>
      <c r="L24" s="30"/>
      <c r="M24" s="30"/>
    </row>
    <row r="25" spans="1:13" ht="20" customHeight="1" x14ac:dyDescent="0.2">
      <c r="A25" s="11" t="s">
        <v>45</v>
      </c>
      <c r="B25" s="12" t="s">
        <v>8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I25" s="30"/>
      <c r="J25" s="30"/>
      <c r="K25" s="30"/>
      <c r="L25" s="30"/>
      <c r="M25" s="30"/>
    </row>
    <row r="26" spans="1:13" ht="20" customHeight="1" x14ac:dyDescent="0.2">
      <c r="A26" s="11" t="s">
        <v>46</v>
      </c>
      <c r="B26" s="12" t="s">
        <v>10</v>
      </c>
      <c r="C26" s="13">
        <f>$B$5*(1+C25)</f>
        <v>1150</v>
      </c>
      <c r="D26" s="13">
        <f>C26*(1-$B$6+D25)</f>
        <v>1144.25</v>
      </c>
      <c r="E26" s="13">
        <f>D26*(1-$B$6+E25)</f>
        <v>1138.5287499999999</v>
      </c>
      <c r="F26" s="13">
        <f>E26*(1-$B$6+F25)</f>
        <v>1132.8361062499998</v>
      </c>
      <c r="G26" s="13">
        <f>F26*(1-$B$6+G25)</f>
        <v>1127.1719257187499</v>
      </c>
      <c r="I26" s="30"/>
      <c r="J26" s="30"/>
      <c r="K26" s="30"/>
      <c r="L26" s="30"/>
      <c r="M26" s="30"/>
    </row>
    <row r="27" spans="1:13" ht="20" customHeight="1" x14ac:dyDescent="0.2">
      <c r="A27" s="11" t="s">
        <v>47</v>
      </c>
      <c r="B27" s="12" t="s">
        <v>48</v>
      </c>
      <c r="C27" s="13">
        <f>C24*C26/10</f>
        <v>1150</v>
      </c>
      <c r="D27" s="13">
        <f>D24*D26/10</f>
        <v>1144.25</v>
      </c>
      <c r="E27" s="13">
        <f>E24*E26/10</f>
        <v>1138.5287499999999</v>
      </c>
      <c r="F27" s="13">
        <f>F24*F26/10</f>
        <v>1132.8361062499998</v>
      </c>
      <c r="G27" s="13">
        <f>G24*G26/10</f>
        <v>1127.1719257187499</v>
      </c>
      <c r="I27" s="30"/>
      <c r="J27" s="30"/>
      <c r="K27" s="30"/>
      <c r="L27" s="30"/>
      <c r="M27" s="30"/>
    </row>
    <row r="28" spans="1:13" ht="20" customHeight="1" x14ac:dyDescent="0.2">
      <c r="A28" s="11" t="s">
        <v>49</v>
      </c>
      <c r="B28" s="12" t="s">
        <v>8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</row>
    <row r="29" spans="1:13" ht="20" customHeight="1" x14ac:dyDescent="0.2">
      <c r="A29" s="11" t="s">
        <v>14</v>
      </c>
      <c r="B29" s="12" t="s">
        <v>8</v>
      </c>
      <c r="C29" s="15">
        <f>$G$6+C28</f>
        <v>0.7</v>
      </c>
      <c r="D29" s="15">
        <f>$G$6+D28</f>
        <v>0.7</v>
      </c>
      <c r="E29" s="15">
        <f>$G$6+E28</f>
        <v>0.7</v>
      </c>
      <c r="F29" s="15">
        <f>$G$6+F28</f>
        <v>0.7</v>
      </c>
      <c r="G29" s="15">
        <f>$G$6+G28</f>
        <v>0.7</v>
      </c>
    </row>
    <row r="30" spans="1:13" ht="20" customHeight="1" x14ac:dyDescent="0.2">
      <c r="A30" s="11" t="s">
        <v>17</v>
      </c>
      <c r="B30" s="12" t="s">
        <v>8</v>
      </c>
      <c r="C30" s="15">
        <f>1-C29</f>
        <v>0.30000000000000004</v>
      </c>
      <c r="D30" s="15">
        <f>1-D29</f>
        <v>0.30000000000000004</v>
      </c>
      <c r="E30" s="15">
        <f>1-E29</f>
        <v>0.30000000000000004</v>
      </c>
      <c r="F30" s="15">
        <f>1-F29</f>
        <v>0.30000000000000004</v>
      </c>
      <c r="G30" s="15">
        <f>1-G29</f>
        <v>0.30000000000000004</v>
      </c>
    </row>
    <row r="31" spans="1:13" ht="20" customHeight="1" x14ac:dyDescent="0.2">
      <c r="A31" s="11" t="s">
        <v>50</v>
      </c>
      <c r="B31" s="12" t="s">
        <v>8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</row>
    <row r="32" spans="1:13" ht="20" customHeight="1" x14ac:dyDescent="0.2">
      <c r="A32" s="11" t="s">
        <v>22</v>
      </c>
      <c r="B32" s="12" t="s">
        <v>23</v>
      </c>
      <c r="C32" s="16">
        <f>$G$8*(1+C31)</f>
        <v>0.78</v>
      </c>
      <c r="D32" s="16">
        <f>C32*(1+$B$7+D31)</f>
        <v>0.78780000000000006</v>
      </c>
      <c r="E32" s="16">
        <f>D32*(1+$B$7+E31)</f>
        <v>0.79567800000000011</v>
      </c>
      <c r="F32" s="16">
        <f>E32*(1+$B$7+F31)</f>
        <v>0.8036347800000001</v>
      </c>
      <c r="G32" s="16">
        <f>F32*(1+$B$7+G31)</f>
        <v>0.81167112780000006</v>
      </c>
    </row>
    <row r="33" spans="1:7" ht="20" customHeight="1" x14ac:dyDescent="0.2">
      <c r="A33" s="11" t="s">
        <v>51</v>
      </c>
      <c r="B33" s="12" t="s">
        <v>8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</row>
    <row r="34" spans="1:7" ht="20" customHeight="1" x14ac:dyDescent="0.2">
      <c r="A34" s="11" t="s">
        <v>27</v>
      </c>
      <c r="B34" s="12" t="s">
        <v>23</v>
      </c>
      <c r="C34" s="16">
        <f>$G$9*(1+C33)</f>
        <v>0.42</v>
      </c>
      <c r="D34" s="16">
        <f>C34*(1+$B$7+D33)</f>
        <v>0.42419999999999997</v>
      </c>
      <c r="E34" s="16">
        <f>D34*(1+$B$7+E33)</f>
        <v>0.42844199999999999</v>
      </c>
      <c r="F34" s="16">
        <f>E34*(1+$B$7+F33)</f>
        <v>0.43272642</v>
      </c>
      <c r="G34" s="16">
        <f>F34*(1+$B$7+G33)</f>
        <v>0.43705368420000001</v>
      </c>
    </row>
    <row r="35" spans="1:7" ht="20" customHeight="1" x14ac:dyDescent="0.2">
      <c r="A35" s="11" t="s">
        <v>52</v>
      </c>
      <c r="B35" s="12" t="s">
        <v>48</v>
      </c>
      <c r="C35" s="13">
        <f>C27*C29</f>
        <v>805</v>
      </c>
      <c r="D35" s="13">
        <f>D27*D29</f>
        <v>800.97499999999991</v>
      </c>
      <c r="E35" s="13">
        <f>E27*E29</f>
        <v>796.97012499999994</v>
      </c>
      <c r="F35" s="13">
        <f>F27*F29</f>
        <v>792.98527437499979</v>
      </c>
      <c r="G35" s="13">
        <f>G27*G29</f>
        <v>789.02034800312492</v>
      </c>
    </row>
    <row r="36" spans="1:7" ht="20" customHeight="1" x14ac:dyDescent="0.2">
      <c r="A36" s="11" t="s">
        <v>53</v>
      </c>
      <c r="B36" s="12" t="s">
        <v>48</v>
      </c>
      <c r="C36" s="13">
        <f>C27*C30</f>
        <v>345.00000000000006</v>
      </c>
      <c r="D36" s="13">
        <f>D27*D30</f>
        <v>343.27500000000003</v>
      </c>
      <c r="E36" s="13">
        <f>E27*E30</f>
        <v>341.55862500000001</v>
      </c>
      <c r="F36" s="13">
        <f>F27*F30</f>
        <v>339.85083187499998</v>
      </c>
      <c r="G36" s="13">
        <f>G27*G30</f>
        <v>338.15157771562502</v>
      </c>
    </row>
    <row r="37" spans="1:7" ht="20" customHeight="1" x14ac:dyDescent="0.2">
      <c r="A37" s="11" t="s">
        <v>54</v>
      </c>
      <c r="B37" s="12" t="s">
        <v>21</v>
      </c>
      <c r="C37" s="17">
        <f>C35*C32/10000</f>
        <v>6.2789999999999999E-2</v>
      </c>
      <c r="D37" s="17">
        <f>D35*D32/10000</f>
        <v>6.3100810500000007E-2</v>
      </c>
      <c r="E37" s="17">
        <f>E35*E32/10000</f>
        <v>6.3413159511975001E-2</v>
      </c>
      <c r="F37" s="17">
        <f>F35*F32/10000</f>
        <v>6.3727054651559256E-2</v>
      </c>
      <c r="G37" s="17">
        <f>G35*G32/10000</f>
        <v>6.4042503572084492E-2</v>
      </c>
    </row>
    <row r="38" spans="1:7" ht="20" customHeight="1" x14ac:dyDescent="0.2">
      <c r="A38" s="11" t="s">
        <v>55</v>
      </c>
      <c r="B38" s="12" t="s">
        <v>21</v>
      </c>
      <c r="C38" s="17">
        <f>C36*C34/10000</f>
        <v>1.4490000000000001E-2</v>
      </c>
      <c r="D38" s="17">
        <f>D36*D34/10000</f>
        <v>1.4561725500000001E-2</v>
      </c>
      <c r="E38" s="17">
        <f>E36*E34/10000</f>
        <v>1.4633806041225E-2</v>
      </c>
      <c r="F38" s="17">
        <f>F36*F34/10000</f>
        <v>1.4706243381129061E-2</v>
      </c>
      <c r="G38" s="17">
        <f>G36*G34/10000</f>
        <v>1.4779039285865653E-2</v>
      </c>
    </row>
    <row r="39" spans="1:7" ht="20" customHeight="1" x14ac:dyDescent="0.2">
      <c r="A39" s="11" t="s">
        <v>56</v>
      </c>
      <c r="B39" s="12" t="s">
        <v>21</v>
      </c>
      <c r="C39" s="17">
        <f>SUM(C37:C38)</f>
        <v>7.7280000000000001E-2</v>
      </c>
      <c r="D39" s="17">
        <f>SUM(D37:D38)</f>
        <v>7.7662536000000004E-2</v>
      </c>
      <c r="E39" s="17">
        <f>SUM(E37:E38)</f>
        <v>7.8046965553199996E-2</v>
      </c>
      <c r="F39" s="17">
        <f>SUM(F37:F38)</f>
        <v>7.8433298032688323E-2</v>
      </c>
      <c r="G39" s="17">
        <f>SUM(G37:G38)</f>
        <v>7.882154285795015E-2</v>
      </c>
    </row>
    <row r="40" spans="1:7" ht="20" customHeight="1" x14ac:dyDescent="0.2">
      <c r="A40" s="11" t="s">
        <v>57</v>
      </c>
      <c r="B40" s="12" t="s">
        <v>21</v>
      </c>
      <c r="C40" s="17">
        <f>$B$8</f>
        <v>1.4999999999999999E-2</v>
      </c>
      <c r="D40" s="17">
        <f t="shared" ref="D40:G41" si="0">C40*(1+$B$9)</f>
        <v>1.5299999999999999E-2</v>
      </c>
      <c r="E40" s="17">
        <f t="shared" si="0"/>
        <v>1.5606E-2</v>
      </c>
      <c r="F40" s="17">
        <f t="shared" si="0"/>
        <v>1.5918120000000001E-2</v>
      </c>
      <c r="G40" s="17">
        <f t="shared" si="0"/>
        <v>1.6236482400000002E-2</v>
      </c>
    </row>
    <row r="41" spans="1:7" ht="20" customHeight="1" x14ac:dyDescent="0.2">
      <c r="A41" s="11" t="s">
        <v>29</v>
      </c>
      <c r="B41" s="12" t="s">
        <v>21</v>
      </c>
      <c r="C41" s="17">
        <f>$B$10</f>
        <v>4.0000000000000001E-3</v>
      </c>
      <c r="D41" s="17">
        <f t="shared" si="0"/>
        <v>4.0800000000000003E-3</v>
      </c>
      <c r="E41" s="17">
        <f t="shared" si="0"/>
        <v>4.1616000000000005E-3</v>
      </c>
      <c r="F41" s="17">
        <f t="shared" si="0"/>
        <v>4.2448320000000005E-3</v>
      </c>
      <c r="G41" s="17">
        <f t="shared" si="0"/>
        <v>4.3297286400000006E-3</v>
      </c>
    </row>
    <row r="42" spans="1:7" ht="20" customHeight="1" x14ac:dyDescent="0.2">
      <c r="A42" s="18" t="s">
        <v>58</v>
      </c>
      <c r="B42" s="19" t="s">
        <v>21</v>
      </c>
      <c r="C42" s="20">
        <f>C39-C40-C41</f>
        <v>5.8279999999999998E-2</v>
      </c>
      <c r="D42" s="20">
        <f>D39-D40-D41</f>
        <v>5.8282536000000003E-2</v>
      </c>
      <c r="E42" s="20">
        <f>E39-E40-E41</f>
        <v>5.8279365553199992E-2</v>
      </c>
      <c r="F42" s="20">
        <f>F39-F40-F41</f>
        <v>5.8270346032688325E-2</v>
      </c>
      <c r="G42" s="20">
        <f>G39-G40-G41</f>
        <v>5.8255331817950146E-2</v>
      </c>
    </row>
    <row r="43" spans="1:7" ht="20" customHeight="1" x14ac:dyDescent="0.2">
      <c r="A43" s="11" t="s">
        <v>59</v>
      </c>
      <c r="B43" s="12" t="s">
        <v>21</v>
      </c>
      <c r="C43" s="17">
        <f>$B$12*(1-$G$11)/$G$10</f>
        <v>1.9950000000000002E-2</v>
      </c>
      <c r="D43" s="17">
        <f>$B$12*(1-$G$11)/$G$10</f>
        <v>1.9950000000000002E-2</v>
      </c>
      <c r="E43" s="17">
        <f>$B$12*(1-$G$11)/$G$10</f>
        <v>1.9950000000000002E-2</v>
      </c>
      <c r="F43" s="17">
        <f>$B$12*(1-$G$11)/$G$10</f>
        <v>1.9950000000000002E-2</v>
      </c>
      <c r="G43" s="17">
        <f>$B$12*(1-$G$11)/$G$10</f>
        <v>1.9950000000000002E-2</v>
      </c>
    </row>
    <row r="44" spans="1:7" ht="20" customHeight="1" x14ac:dyDescent="0.2">
      <c r="A44" s="11" t="s">
        <v>60</v>
      </c>
      <c r="B44" s="12" t="s">
        <v>21</v>
      </c>
      <c r="C44" s="17">
        <f>C42-C43</f>
        <v>3.8329999999999996E-2</v>
      </c>
      <c r="D44" s="17">
        <f>D42-D43</f>
        <v>3.8332536E-2</v>
      </c>
      <c r="E44" s="17">
        <f>E42-E43</f>
        <v>3.832936555319999E-2</v>
      </c>
      <c r="F44" s="17">
        <f>F42-F43</f>
        <v>3.8320346032688322E-2</v>
      </c>
      <c r="G44" s="17">
        <f>G42-G43</f>
        <v>3.8305331817950143E-2</v>
      </c>
    </row>
    <row r="45" spans="1:7" ht="20" customHeight="1" x14ac:dyDescent="0.2">
      <c r="A45" s="21" t="s">
        <v>61</v>
      </c>
      <c r="B45" s="22" t="s">
        <v>21</v>
      </c>
      <c r="C45" s="23">
        <f>MAX(C44,0)*$B$13</f>
        <v>9.582499999999999E-3</v>
      </c>
      <c r="D45" s="23">
        <f>MAX(D44,0)*$B$13</f>
        <v>9.5831340000000001E-3</v>
      </c>
      <c r="E45" s="23">
        <f>MAX(E44,0)*$B$13</f>
        <v>9.5823413882999975E-3</v>
      </c>
      <c r="F45" s="23">
        <f>MAX(F44,0)*$B$13</f>
        <v>9.5800865081720806E-3</v>
      </c>
      <c r="G45" s="23">
        <f>MAX(G44,0)*$B$13</f>
        <v>9.5763329544875358E-3</v>
      </c>
    </row>
    <row r="46" spans="1:7" ht="20" customHeight="1" x14ac:dyDescent="0.2">
      <c r="A46" s="21" t="s">
        <v>62</v>
      </c>
      <c r="B46" s="22" t="s">
        <v>21</v>
      </c>
      <c r="C46" s="23">
        <f>C44-C45</f>
        <v>2.8747499999999995E-2</v>
      </c>
      <c r="D46" s="23">
        <f>D44-D45</f>
        <v>2.8749402E-2</v>
      </c>
      <c r="E46" s="23">
        <f>E44-E45</f>
        <v>2.8747024164899992E-2</v>
      </c>
      <c r="F46" s="23">
        <f>F44-F45</f>
        <v>2.874025952451624E-2</v>
      </c>
      <c r="G46" s="23">
        <f>G44-G45</f>
        <v>2.8728998863462606E-2</v>
      </c>
    </row>
    <row r="47" spans="1:7" ht="20" customHeight="1" x14ac:dyDescent="0.2">
      <c r="A47" s="11" t="s">
        <v>63</v>
      </c>
      <c r="B47" s="12" t="s">
        <v>21</v>
      </c>
      <c r="C47" s="17">
        <f>C43</f>
        <v>1.9950000000000002E-2</v>
      </c>
      <c r="D47" s="17">
        <f>D43</f>
        <v>1.9950000000000002E-2</v>
      </c>
      <c r="E47" s="17">
        <f>E43</f>
        <v>1.9950000000000002E-2</v>
      </c>
      <c r="F47" s="17">
        <f>F43</f>
        <v>1.9950000000000002E-2</v>
      </c>
      <c r="G47" s="17">
        <f>G43</f>
        <v>1.9950000000000002E-2</v>
      </c>
    </row>
    <row r="48" spans="1:7" ht="20" customHeight="1" x14ac:dyDescent="0.2">
      <c r="A48" s="11" t="s">
        <v>32</v>
      </c>
      <c r="B48" s="12" t="s">
        <v>21</v>
      </c>
      <c r="C48" s="17">
        <f>$B$11</f>
        <v>3.0000000000000001E-3</v>
      </c>
      <c r="D48" s="17">
        <f>$B$11</f>
        <v>3.0000000000000001E-3</v>
      </c>
      <c r="E48" s="17">
        <f>$B$11</f>
        <v>3.0000000000000001E-3</v>
      </c>
      <c r="F48" s="17">
        <f>$B$11</f>
        <v>3.0000000000000001E-3</v>
      </c>
      <c r="G48" s="17">
        <f>$B$11</f>
        <v>3.0000000000000001E-3</v>
      </c>
    </row>
    <row r="49" spans="1:7" ht="20" customHeight="1" x14ac:dyDescent="0.2">
      <c r="A49" s="11" t="s">
        <v>64</v>
      </c>
      <c r="B49" s="12" t="s">
        <v>21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</row>
    <row r="50" spans="1:7" ht="20" customHeight="1" x14ac:dyDescent="0.2">
      <c r="A50" s="18" t="s">
        <v>65</v>
      </c>
      <c r="B50" s="19" t="s">
        <v>21</v>
      </c>
      <c r="C50" s="20">
        <f>C46+C47-C48-C49</f>
        <v>4.5697499999999995E-2</v>
      </c>
      <c r="D50" s="20">
        <f>D46+D47-D48-D49</f>
        <v>4.5699402E-2</v>
      </c>
      <c r="E50" s="20">
        <f>E46+E47-E48-E49</f>
        <v>4.5697024164899992E-2</v>
      </c>
      <c r="F50" s="20">
        <f>F46+F47-F48-F49</f>
        <v>4.569025952451624E-2</v>
      </c>
      <c r="G50" s="20">
        <f>G46+G47-G48-G49</f>
        <v>4.5678998863462605E-2</v>
      </c>
    </row>
    <row r="51" spans="1:7" ht="20" customHeight="1" x14ac:dyDescent="0.2">
      <c r="A51" s="11" t="s">
        <v>66</v>
      </c>
      <c r="B51" s="12" t="s">
        <v>21</v>
      </c>
      <c r="C51" s="17">
        <f>$L$9</f>
        <v>0.21000000000000002</v>
      </c>
      <c r="D51" s="17">
        <f>C54</f>
        <v>0.18900000000000003</v>
      </c>
      <c r="E51" s="17">
        <f>D54</f>
        <v>0.16800000000000004</v>
      </c>
      <c r="F51" s="17">
        <f>E54</f>
        <v>0.14700000000000005</v>
      </c>
      <c r="G51" s="17">
        <f>F54</f>
        <v>0.12600000000000006</v>
      </c>
    </row>
    <row r="52" spans="1:7" ht="20" customHeight="1" x14ac:dyDescent="0.2">
      <c r="A52" s="11" t="s">
        <v>67</v>
      </c>
      <c r="B52" s="12" t="s">
        <v>21</v>
      </c>
      <c r="C52" s="17">
        <f>IF(COLUMN()-COLUMN($C$21)+1&lt;=$L$7,$L$9/$L$7,0)</f>
        <v>2.1000000000000001E-2</v>
      </c>
      <c r="D52" s="17">
        <f>IF(COLUMN()-COLUMN($C$21)+1&lt;=$L$7,$L$9/$L$7,0)</f>
        <v>2.1000000000000001E-2</v>
      </c>
      <c r="E52" s="17">
        <f>IF(COLUMN()-COLUMN($C$21)+1&lt;=$L$7,$L$9/$L$7,0)</f>
        <v>2.1000000000000001E-2</v>
      </c>
      <c r="F52" s="17">
        <f>IF(COLUMN()-COLUMN($C$21)+1&lt;=$L$7,$L$9/$L$7,0)</f>
        <v>2.1000000000000001E-2</v>
      </c>
      <c r="G52" s="17">
        <f>IF(COLUMN()-COLUMN($C$21)+1&lt;=$L$7,$L$9/$L$7,0)</f>
        <v>2.1000000000000001E-2</v>
      </c>
    </row>
    <row r="53" spans="1:7" ht="20" customHeight="1" x14ac:dyDescent="0.2">
      <c r="A53" s="11" t="s">
        <v>68</v>
      </c>
      <c r="B53" s="12" t="s">
        <v>21</v>
      </c>
      <c r="C53" s="17">
        <f>C51*$L$6</f>
        <v>8.8200000000000014E-3</v>
      </c>
      <c r="D53" s="17">
        <f>D51*$L$6</f>
        <v>7.9380000000000023E-3</v>
      </c>
      <c r="E53" s="17">
        <f>E51*$L$6</f>
        <v>7.0560000000000024E-3</v>
      </c>
      <c r="F53" s="17">
        <f>F51*$L$6</f>
        <v>6.1740000000000024E-3</v>
      </c>
      <c r="G53" s="17">
        <f>G51*$L$6</f>
        <v>5.2920000000000024E-3</v>
      </c>
    </row>
    <row r="54" spans="1:7" ht="20" customHeight="1" x14ac:dyDescent="0.2">
      <c r="A54" s="11" t="s">
        <v>69</v>
      </c>
      <c r="B54" s="12" t="s">
        <v>21</v>
      </c>
      <c r="C54" s="17">
        <f>MAX(C51-C52,0)</f>
        <v>0.18900000000000003</v>
      </c>
      <c r="D54" s="17">
        <f>MAX(D51-D52,0)</f>
        <v>0.16800000000000004</v>
      </c>
      <c r="E54" s="17">
        <f>MAX(E51-E52,0)</f>
        <v>0.14700000000000005</v>
      </c>
      <c r="F54" s="17">
        <f>MAX(F51-F52,0)</f>
        <v>0.12600000000000006</v>
      </c>
      <c r="G54" s="17">
        <f>MAX(G51-G52,0)</f>
        <v>0.10500000000000005</v>
      </c>
    </row>
    <row r="55" spans="1:7" ht="20" customHeight="1" x14ac:dyDescent="0.2">
      <c r="A55" s="21" t="s">
        <v>70</v>
      </c>
      <c r="B55" s="22" t="s">
        <v>21</v>
      </c>
      <c r="C55" s="23">
        <f>C44-C53</f>
        <v>2.9509999999999995E-2</v>
      </c>
      <c r="D55" s="23">
        <f>D44-D53</f>
        <v>3.0394536E-2</v>
      </c>
      <c r="E55" s="23">
        <f>E44-E53</f>
        <v>3.127336555319999E-2</v>
      </c>
      <c r="F55" s="23">
        <f>F44-F53</f>
        <v>3.2146346032688317E-2</v>
      </c>
      <c r="G55" s="23">
        <f>G44-G53</f>
        <v>3.3013331817950138E-2</v>
      </c>
    </row>
    <row r="56" spans="1:7" ht="20" customHeight="1" x14ac:dyDescent="0.2">
      <c r="A56" s="21" t="s">
        <v>71</v>
      </c>
      <c r="B56" s="22" t="s">
        <v>21</v>
      </c>
      <c r="C56" s="23">
        <f>MAX(C55,0)*$B$13</f>
        <v>7.3774999999999986E-3</v>
      </c>
      <c r="D56" s="23">
        <f>MAX(D55,0)*$B$13</f>
        <v>7.5986339999999999E-3</v>
      </c>
      <c r="E56" s="23">
        <f>MAX(E55,0)*$B$13</f>
        <v>7.8183413882999975E-3</v>
      </c>
      <c r="F56" s="23">
        <f>MAX(F55,0)*$B$13</f>
        <v>8.0365865081720791E-3</v>
      </c>
      <c r="G56" s="23">
        <f>MAX(G55,0)*$B$13</f>
        <v>8.2533329544875345E-3</v>
      </c>
    </row>
    <row r="57" spans="1:7" ht="20" customHeight="1" x14ac:dyDescent="0.2">
      <c r="A57" s="21" t="s">
        <v>72</v>
      </c>
      <c r="B57" s="22" t="s">
        <v>21</v>
      </c>
      <c r="C57" s="23">
        <f>C52+C53</f>
        <v>2.9820000000000003E-2</v>
      </c>
      <c r="D57" s="23">
        <f>D52+D53</f>
        <v>2.8938000000000005E-2</v>
      </c>
      <c r="E57" s="23">
        <f>E52+E53</f>
        <v>2.8056000000000005E-2</v>
      </c>
      <c r="F57" s="23">
        <f>F52+F53</f>
        <v>2.7174000000000004E-2</v>
      </c>
      <c r="G57" s="23">
        <f>G52+G53</f>
        <v>2.6292000000000003E-2</v>
      </c>
    </row>
    <row r="58" spans="1:7" ht="20" customHeight="1" x14ac:dyDescent="0.2">
      <c r="A58" s="18" t="s">
        <v>73</v>
      </c>
      <c r="B58" s="19" t="s">
        <v>21</v>
      </c>
      <c r="C58" s="20">
        <f>C55-C56+C47-C48-C49-C52</f>
        <v>1.8082499999999991E-2</v>
      </c>
      <c r="D58" s="20">
        <f>D55-D56+D47-D48-D49-D52</f>
        <v>1.8745901999999998E-2</v>
      </c>
      <c r="E58" s="20">
        <f>E55-E56+E47-E48-E49-E52</f>
        <v>1.9405024164899993E-2</v>
      </c>
      <c r="F58" s="20">
        <f>F55-F56+F47-F48-F49-F52</f>
        <v>2.0059759524516236E-2</v>
      </c>
      <c r="G58" s="20">
        <f>G55-G56+G47-G48-G49-G52</f>
        <v>2.0709998863462604E-2</v>
      </c>
    </row>
    <row r="59" spans="1:7" ht="20" customHeight="1" x14ac:dyDescent="0.2">
      <c r="A59" s="18" t="s">
        <v>74</v>
      </c>
      <c r="B59" s="19" t="s">
        <v>75</v>
      </c>
      <c r="C59" s="25">
        <f>IF(C57=0,"-",C50/C57)</f>
        <v>1.5324446680080479</v>
      </c>
      <c r="D59" s="25">
        <f>IF(D57=0,"-",D50/D57)</f>
        <v>1.5792177068214801</v>
      </c>
      <c r="E59" s="25">
        <f>IF(E57=0,"-",E50/E57)</f>
        <v>1.6287790192792979</v>
      </c>
      <c r="F59" s="25">
        <f>IF(F57=0,"-",F50/F57)</f>
        <v>1.6813961700344533</v>
      </c>
      <c r="G59" s="25">
        <f>IF(G57=0,"-",G50/G57)</f>
        <v>1.7373725415891754</v>
      </c>
    </row>
    <row r="60" spans="1:7" ht="20" customHeight="1" x14ac:dyDescent="0.2">
      <c r="A60" s="11" t="s">
        <v>76</v>
      </c>
      <c r="B60" s="12" t="s">
        <v>75</v>
      </c>
      <c r="C60" s="26">
        <f>1/(1+$B$14)^(COLUMN()-COLUMN($C$21)+1)</f>
        <v>0.92165898617511521</v>
      </c>
      <c r="D60" s="26">
        <f>1/(1+$B$14)^(COLUMN()-COLUMN($C$21)+1)</f>
        <v>0.84945528679734128</v>
      </c>
      <c r="E60" s="26">
        <f>1/(1+$B$14)^(COLUMN()-COLUMN($C$21)+1)</f>
        <v>0.78290809843072917</v>
      </c>
      <c r="F60" s="26">
        <f>1/(1+$B$14)^(COLUMN()-COLUMN($C$21)+1)</f>
        <v>0.72157428426795334</v>
      </c>
      <c r="G60" s="26">
        <f>1/(1+$B$14)^(COLUMN()-COLUMN($C$21)+1)</f>
        <v>0.66504542328843619</v>
      </c>
    </row>
    <row r="61" spans="1:7" ht="20" customHeight="1" x14ac:dyDescent="0.2">
      <c r="A61" s="11" t="s">
        <v>77</v>
      </c>
      <c r="B61" s="12" t="s">
        <v>21</v>
      </c>
      <c r="C61" s="17">
        <f>C50*C60</f>
        <v>4.2117511520737325E-2</v>
      </c>
      <c r="D61" s="17">
        <f>D50*D60</f>
        <v>3.8819598632376995E-2</v>
      </c>
      <c r="E61" s="17">
        <f>E50*E60</f>
        <v>3.5776570292884932E-2</v>
      </c>
      <c r="F61" s="17">
        <f>F50*F60</f>
        <v>3.2968916314419845E-2</v>
      </c>
      <c r="G61" s="17">
        <f>G50*G60</f>
        <v>3.0378609134543485E-2</v>
      </c>
    </row>
    <row r="62" spans="1:7" ht="20" customHeight="1" x14ac:dyDescent="0.2">
      <c r="A62" s="11" t="s">
        <v>78</v>
      </c>
      <c r="B62" s="12" t="s">
        <v>21</v>
      </c>
      <c r="C62" s="17" t="s">
        <v>85</v>
      </c>
      <c r="D62" s="17" t="s">
        <v>85</v>
      </c>
      <c r="E62" s="17" t="s">
        <v>85</v>
      </c>
      <c r="F62" s="17" t="s">
        <v>85</v>
      </c>
      <c r="G62" s="36">
        <f>G50*(1+$B$16)</f>
        <v>4.5678998863462605E-2</v>
      </c>
    </row>
    <row r="63" spans="1:7" ht="20" customHeight="1" x14ac:dyDescent="0.2">
      <c r="A63" s="11" t="s">
        <v>79</v>
      </c>
      <c r="B63" s="12" t="s">
        <v>21</v>
      </c>
      <c r="C63" s="17" t="s">
        <v>85</v>
      </c>
      <c r="D63" s="17" t="s">
        <v>85</v>
      </c>
      <c r="E63" s="17" t="s">
        <v>85</v>
      </c>
      <c r="F63" s="17" t="s">
        <v>85</v>
      </c>
      <c r="G63" s="36">
        <f>IF($G$10-$B$15&gt;0,G62/($B$14-$B$16)*(1-((1+$B$16)/(1+$B$14))^($G$10-$B$15)),0)</f>
        <v>0.37932921310761686</v>
      </c>
    </row>
    <row r="64" spans="1:7" ht="20" customHeight="1" x14ac:dyDescent="0.2">
      <c r="A64" s="11" t="s">
        <v>80</v>
      </c>
      <c r="B64" s="12" t="s">
        <v>21</v>
      </c>
      <c r="C64" s="17" t="s">
        <v>85</v>
      </c>
      <c r="D64" s="17" t="s">
        <v>85</v>
      </c>
      <c r="E64" s="17" t="s">
        <v>85</v>
      </c>
      <c r="F64" s="17" t="s">
        <v>85</v>
      </c>
      <c r="G64" s="36">
        <f>G63*G60</f>
        <v>0.25227115709682446</v>
      </c>
    </row>
    <row r="65" spans="1:13" ht="20" customHeight="1" x14ac:dyDescent="0.2">
      <c r="A65" s="34" t="s">
        <v>86</v>
      </c>
      <c r="B65" s="35"/>
      <c r="C65" s="37">
        <f>SUM(C61:G61)</f>
        <v>0.18006120589496258</v>
      </c>
      <c r="D65" s="28"/>
      <c r="E65" s="28"/>
      <c r="F65" s="28"/>
      <c r="G65" s="28"/>
    </row>
    <row r="66" spans="1:13" ht="20" customHeight="1" x14ac:dyDescent="0.2">
      <c r="A66" s="34" t="s">
        <v>81</v>
      </c>
      <c r="B66" s="35"/>
      <c r="C66" s="27">
        <f>SUM(C61:G61)+G64-$L$9</f>
        <v>0.22233236299178699</v>
      </c>
      <c r="D66" s="28"/>
      <c r="E66" s="28"/>
      <c r="F66" s="28"/>
      <c r="G66" s="28"/>
    </row>
    <row r="67" spans="1:13" ht="20" customHeight="1" x14ac:dyDescent="0.2"/>
    <row r="68" spans="1:13" ht="20" customHeight="1" x14ac:dyDescent="0.2"/>
    <row r="69" spans="1:13" ht="20" customHeight="1" x14ac:dyDescent="0.2"/>
    <row r="70" spans="1:13" ht="24" customHeight="1" x14ac:dyDescent="0.2">
      <c r="A70" s="29" t="s">
        <v>82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</row>
    <row r="71" spans="1:13" ht="24" customHeight="1" x14ac:dyDescent="0.2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</row>
    <row r="72" spans="1:13" ht="24" customHeight="1" x14ac:dyDescent="0.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</row>
    <row r="73" spans="1:13" ht="24" customHeight="1" x14ac:dyDescent="0.2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</row>
    <row r="74" spans="1:13" ht="24" customHeight="1" x14ac:dyDescent="0.2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</row>
    <row r="75" spans="1:13" ht="20" customHeight="1" x14ac:dyDescent="0.2"/>
    <row r="76" spans="1:13" ht="20" customHeight="1" x14ac:dyDescent="0.2"/>
    <row r="77" spans="1:13" ht="20" customHeight="1" x14ac:dyDescent="0.2"/>
    <row r="78" spans="1:13" ht="24" customHeight="1" x14ac:dyDescent="0.2">
      <c r="A78" s="29" t="s">
        <v>83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</row>
    <row r="79" spans="1:13" ht="24" customHeight="1" x14ac:dyDescent="0.2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</row>
    <row r="80" spans="1:13" ht="24" customHeight="1" x14ac:dyDescent="0.2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</row>
    <row r="81" spans="1:13" ht="24" customHeight="1" x14ac:dyDescent="0.2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</row>
    <row r="82" spans="1:13" ht="24" customHeight="1" x14ac:dyDescent="0.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</row>
    <row r="83" spans="1:13" ht="20" customHeight="1" x14ac:dyDescent="0.2"/>
    <row r="84" spans="1:13" ht="20" customHeight="1" x14ac:dyDescent="0.2"/>
    <row r="85" spans="1:13" ht="20" customHeight="1" x14ac:dyDescent="0.2"/>
    <row r="86" spans="1:13" ht="24" customHeight="1" x14ac:dyDescent="0.2">
      <c r="A86" s="29" t="s">
        <v>84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</row>
    <row r="87" spans="1:13" ht="24" customHeight="1" x14ac:dyDescent="0.2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1:13" ht="24" customHeight="1" x14ac:dyDescent="0.2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</row>
    <row r="89" spans="1:13" ht="24" customHeight="1" x14ac:dyDescent="0.2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</row>
    <row r="90" spans="1:13" ht="24" customHeight="1" x14ac:dyDescent="0.2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</row>
    <row r="91" spans="1:13" ht="20" customHeight="1" x14ac:dyDescent="0.2"/>
    <row r="92" spans="1:13" ht="20" customHeight="1" x14ac:dyDescent="0.2"/>
    <row r="93" spans="1:13" ht="20" customHeight="1" x14ac:dyDescent="0.2"/>
    <row r="94" spans="1:13" ht="20" customHeight="1" x14ac:dyDescent="0.2"/>
  </sheetData>
  <mergeCells count="10">
    <mergeCell ref="A86:M90"/>
    <mergeCell ref="A1:M1"/>
    <mergeCell ref="A70:M74"/>
    <mergeCell ref="A78:M82"/>
    <mergeCell ref="A18:M18"/>
    <mergeCell ref="A20:M20"/>
    <mergeCell ref="I22:M27"/>
    <mergeCell ref="A3:C3"/>
    <mergeCell ref="K3:M3"/>
    <mergeCell ref="F3:H3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N市分布式光伏估值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松 陈</cp:lastModifiedBy>
  <dcterms:created xsi:type="dcterms:W3CDTF">2026-04-03T07:43:50Z</dcterms:created>
  <dcterms:modified xsi:type="dcterms:W3CDTF">2026-04-06T10:43:48Z</dcterms:modified>
</cp:coreProperties>
</file>