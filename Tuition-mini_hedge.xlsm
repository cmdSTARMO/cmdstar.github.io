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hdp/Desktop/"/>
    </mc:Choice>
  </mc:AlternateContent>
  <xr:revisionPtr revIDLastSave="0" documentId="13_ncr:1_{70467606-451C-104C-B03B-CA152D68504A}" xr6:coauthVersionLast="47" xr6:coauthVersionMax="47" xr10:uidLastSave="{00000000-0000-0000-0000-000000000000}"/>
  <bookViews>
    <workbookView xWindow="140" yWindow="1020" windowWidth="18980" windowHeight="22600" xr2:uid="{787CC67B-B214-F84F-B870-615625D0744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3" i="1"/>
  <c r="O53" i="1"/>
  <c r="O3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V3" i="1"/>
  <c r="C24" i="1"/>
  <c r="U25" i="1"/>
  <c r="V32" i="1"/>
  <c r="V33" i="1"/>
  <c r="V34" i="1"/>
  <c r="V35" i="1"/>
  <c r="V36" i="1"/>
  <c r="V37" i="1"/>
  <c r="V38" i="1"/>
  <c r="V39" i="1"/>
  <c r="V40" i="1"/>
  <c r="V41" i="1"/>
  <c r="V42" i="1"/>
  <c r="V45" i="1"/>
  <c r="V46" i="1"/>
  <c r="V47" i="1"/>
  <c r="V48" i="1"/>
  <c r="V49" i="1"/>
  <c r="V50" i="1"/>
  <c r="V52" i="1"/>
  <c r="V53" i="1"/>
  <c r="V4" i="1"/>
  <c r="V5" i="1"/>
  <c r="V6" i="1"/>
  <c r="V7" i="1"/>
  <c r="V8" i="1"/>
  <c r="V9" i="1"/>
  <c r="V12" i="1"/>
  <c r="V13" i="1"/>
  <c r="V14" i="1"/>
  <c r="V15" i="1"/>
  <c r="V16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U31" i="1"/>
  <c r="E17" i="1"/>
  <c r="D19" i="1"/>
  <c r="D20" i="1" s="1"/>
  <c r="C18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3" i="1"/>
  <c r="I4" i="1"/>
  <c r="J4" i="1"/>
  <c r="K4" i="1"/>
  <c r="I5" i="1"/>
  <c r="J5" i="1"/>
  <c r="K5" i="1"/>
  <c r="I6" i="1"/>
  <c r="J6" i="1"/>
  <c r="K6" i="1"/>
  <c r="I7" i="1"/>
  <c r="J7" i="1"/>
  <c r="K7" i="1"/>
  <c r="I8" i="1"/>
  <c r="J8" i="1"/>
  <c r="K8" i="1"/>
  <c r="I9" i="1"/>
  <c r="J9" i="1"/>
  <c r="U9" i="1" s="1"/>
  <c r="K9" i="1"/>
  <c r="I10" i="1"/>
  <c r="J10" i="1"/>
  <c r="K10" i="1"/>
  <c r="I11" i="1"/>
  <c r="J11" i="1"/>
  <c r="K11" i="1"/>
  <c r="I12" i="1"/>
  <c r="J12" i="1"/>
  <c r="K12" i="1"/>
  <c r="I13" i="1"/>
  <c r="J13" i="1"/>
  <c r="K13" i="1"/>
  <c r="I14" i="1"/>
  <c r="J14" i="1"/>
  <c r="K14" i="1"/>
  <c r="I15" i="1"/>
  <c r="J15" i="1"/>
  <c r="K15" i="1"/>
  <c r="I16" i="1"/>
  <c r="J16" i="1"/>
  <c r="K16" i="1"/>
  <c r="I17" i="1"/>
  <c r="J17" i="1"/>
  <c r="K17" i="1"/>
  <c r="I18" i="1"/>
  <c r="J18" i="1"/>
  <c r="K18" i="1"/>
  <c r="I19" i="1"/>
  <c r="J19" i="1"/>
  <c r="K19" i="1"/>
  <c r="I20" i="1"/>
  <c r="J20" i="1"/>
  <c r="K20" i="1"/>
  <c r="I21" i="1"/>
  <c r="J21" i="1"/>
  <c r="K21" i="1"/>
  <c r="I22" i="1"/>
  <c r="J22" i="1"/>
  <c r="K22" i="1"/>
  <c r="I23" i="1"/>
  <c r="J23" i="1"/>
  <c r="K23" i="1"/>
  <c r="I24" i="1"/>
  <c r="J24" i="1"/>
  <c r="K24" i="1"/>
  <c r="I25" i="1"/>
  <c r="J25" i="1"/>
  <c r="K25" i="1"/>
  <c r="I26" i="1"/>
  <c r="J26" i="1"/>
  <c r="U26" i="1" s="1"/>
  <c r="K26" i="1"/>
  <c r="I27" i="1"/>
  <c r="J27" i="1"/>
  <c r="K27" i="1"/>
  <c r="I28" i="1"/>
  <c r="J28" i="1"/>
  <c r="K28" i="1"/>
  <c r="I29" i="1"/>
  <c r="J29" i="1"/>
  <c r="K29" i="1"/>
  <c r="I30" i="1"/>
  <c r="J30" i="1"/>
  <c r="K30" i="1"/>
  <c r="I31" i="1"/>
  <c r="J31" i="1"/>
  <c r="K31" i="1"/>
  <c r="I32" i="1"/>
  <c r="J32" i="1"/>
  <c r="K32" i="1"/>
  <c r="I33" i="1"/>
  <c r="J33" i="1"/>
  <c r="K33" i="1"/>
  <c r="I34" i="1"/>
  <c r="J34" i="1"/>
  <c r="K34" i="1"/>
  <c r="I35" i="1"/>
  <c r="J35" i="1"/>
  <c r="K35" i="1"/>
  <c r="I36" i="1"/>
  <c r="J36" i="1"/>
  <c r="K36" i="1"/>
  <c r="L36" i="1"/>
  <c r="I37" i="1"/>
  <c r="J37" i="1"/>
  <c r="K37" i="1"/>
  <c r="I38" i="1"/>
  <c r="J38" i="1"/>
  <c r="K38" i="1"/>
  <c r="L38" i="1"/>
  <c r="AB38" i="1" s="1"/>
  <c r="I39" i="1"/>
  <c r="J39" i="1"/>
  <c r="K39" i="1"/>
  <c r="I40" i="1"/>
  <c r="J40" i="1"/>
  <c r="K40" i="1"/>
  <c r="I41" i="1"/>
  <c r="J41" i="1"/>
  <c r="K41" i="1"/>
  <c r="I42" i="1"/>
  <c r="J42" i="1"/>
  <c r="K42" i="1"/>
  <c r="I43" i="1"/>
  <c r="J43" i="1"/>
  <c r="K43" i="1"/>
  <c r="I44" i="1"/>
  <c r="J44" i="1"/>
  <c r="K44" i="1"/>
  <c r="I45" i="1"/>
  <c r="J45" i="1"/>
  <c r="K45" i="1"/>
  <c r="I46" i="1"/>
  <c r="J46" i="1"/>
  <c r="K46" i="1"/>
  <c r="L46" i="1" s="1"/>
  <c r="I47" i="1"/>
  <c r="J47" i="1"/>
  <c r="K47" i="1"/>
  <c r="I48" i="1"/>
  <c r="J48" i="1"/>
  <c r="K48" i="1"/>
  <c r="I49" i="1"/>
  <c r="J49" i="1"/>
  <c r="K49" i="1"/>
  <c r="I50" i="1"/>
  <c r="J50" i="1"/>
  <c r="K50" i="1"/>
  <c r="I51" i="1"/>
  <c r="J51" i="1"/>
  <c r="K51" i="1"/>
  <c r="I52" i="1"/>
  <c r="J52" i="1"/>
  <c r="K52" i="1"/>
  <c r="I53" i="1"/>
  <c r="J53" i="1"/>
  <c r="K53" i="1"/>
  <c r="K3" i="1"/>
  <c r="J3" i="1"/>
  <c r="I3" i="1"/>
  <c r="C7" i="1"/>
  <c r="C8" i="1" s="1"/>
  <c r="AD52" i="1" l="1"/>
  <c r="AD8" i="1"/>
  <c r="AD49" i="1"/>
  <c r="C29" i="1"/>
  <c r="Z3" i="1"/>
  <c r="E27" i="1"/>
  <c r="U11" i="1"/>
  <c r="U10" i="1"/>
  <c r="U44" i="1"/>
  <c r="U17" i="1"/>
  <c r="U51" i="1"/>
  <c r="U43" i="1"/>
  <c r="V44" i="1"/>
  <c r="W44" i="1" s="1"/>
  <c r="X44" i="1" s="1"/>
  <c r="V43" i="1"/>
  <c r="W43" i="1" s="1"/>
  <c r="X43" i="1" s="1"/>
  <c r="V11" i="1"/>
  <c r="W11" i="1" s="1"/>
  <c r="X11" i="1" s="1"/>
  <c r="V10" i="1"/>
  <c r="W10" i="1" s="1"/>
  <c r="X10" i="1" s="1"/>
  <c r="U37" i="1"/>
  <c r="U36" i="1"/>
  <c r="U33" i="1"/>
  <c r="U35" i="1"/>
  <c r="U27" i="1"/>
  <c r="V17" i="1"/>
  <c r="W17" i="1" s="1"/>
  <c r="X17" i="1" s="1"/>
  <c r="U53" i="1"/>
  <c r="U52" i="1"/>
  <c r="U18" i="1"/>
  <c r="U45" i="1"/>
  <c r="U19" i="1"/>
  <c r="V51" i="1"/>
  <c r="W51" i="1" s="1"/>
  <c r="X51" i="1" s="1"/>
  <c r="V31" i="1"/>
  <c r="W31" i="1" s="1"/>
  <c r="X31" i="1" s="1"/>
  <c r="W6" i="1"/>
  <c r="X6" i="1" s="1"/>
  <c r="W40" i="1"/>
  <c r="X40" i="1" s="1"/>
  <c r="U29" i="1"/>
  <c r="U21" i="1"/>
  <c r="U13" i="1"/>
  <c r="U5" i="1"/>
  <c r="U47" i="1"/>
  <c r="U39" i="1"/>
  <c r="U28" i="1"/>
  <c r="U20" i="1"/>
  <c r="U12" i="1"/>
  <c r="U4" i="1"/>
  <c r="U46" i="1"/>
  <c r="U38" i="1"/>
  <c r="W22" i="1"/>
  <c r="X22" i="1" s="1"/>
  <c r="W53" i="1"/>
  <c r="X53" i="1" s="1"/>
  <c r="W37" i="1"/>
  <c r="X37" i="1" s="1"/>
  <c r="W21" i="1"/>
  <c r="X21" i="1" s="1"/>
  <c r="W28" i="1"/>
  <c r="X28" i="1" s="1"/>
  <c r="W4" i="1"/>
  <c r="X4" i="1" s="1"/>
  <c r="W35" i="1"/>
  <c r="X35" i="1" s="1"/>
  <c r="U32" i="1"/>
  <c r="U24" i="1"/>
  <c r="U16" i="1"/>
  <c r="U8" i="1"/>
  <c r="U50" i="1"/>
  <c r="U42" i="1"/>
  <c r="U34" i="1"/>
  <c r="W30" i="1"/>
  <c r="X30" i="1" s="1"/>
  <c r="W29" i="1"/>
  <c r="X29" i="1" s="1"/>
  <c r="U3" i="1"/>
  <c r="U23" i="1"/>
  <c r="U15" i="1"/>
  <c r="U7" i="1"/>
  <c r="U49" i="1"/>
  <c r="U41" i="1"/>
  <c r="W38" i="1"/>
  <c r="X38" i="1" s="1"/>
  <c r="W14" i="1"/>
  <c r="X14" i="1" s="1"/>
  <c r="W45" i="1"/>
  <c r="X45" i="1" s="1"/>
  <c r="W13" i="1"/>
  <c r="X13" i="1" s="1"/>
  <c r="W36" i="1"/>
  <c r="X36" i="1" s="1"/>
  <c r="W12" i="1"/>
  <c r="X12" i="1" s="1"/>
  <c r="W50" i="1"/>
  <c r="X50" i="1" s="1"/>
  <c r="W42" i="1"/>
  <c r="X42" i="1" s="1"/>
  <c r="U30" i="1"/>
  <c r="U22" i="1"/>
  <c r="U14" i="1"/>
  <c r="U6" i="1"/>
  <c r="U48" i="1"/>
  <c r="U40" i="1"/>
  <c r="W32" i="1"/>
  <c r="X32" i="1" s="1"/>
  <c r="W16" i="1"/>
  <c r="X16" i="1" s="1"/>
  <c r="W18" i="1"/>
  <c r="X18" i="1" s="1"/>
  <c r="W25" i="1"/>
  <c r="X25" i="1" s="1"/>
  <c r="W23" i="1"/>
  <c r="X23" i="1" s="1"/>
  <c r="W7" i="1"/>
  <c r="X7" i="1" s="1"/>
  <c r="W19" i="1"/>
  <c r="X19" i="1" s="1"/>
  <c r="W9" i="1"/>
  <c r="X9" i="1" s="1"/>
  <c r="W46" i="1"/>
  <c r="X46" i="1" s="1"/>
  <c r="Z45" i="1"/>
  <c r="Z28" i="1"/>
  <c r="L25" i="1"/>
  <c r="AB25" i="1" s="1"/>
  <c r="L9" i="1"/>
  <c r="AB9" i="1" s="1"/>
  <c r="Z13" i="1"/>
  <c r="Z22" i="1"/>
  <c r="L33" i="1"/>
  <c r="AB33" i="1" s="1"/>
  <c r="L20" i="1"/>
  <c r="L4" i="1"/>
  <c r="AB4" i="1" s="1"/>
  <c r="Z34" i="1"/>
  <c r="Z46" i="1"/>
  <c r="Z38" i="1"/>
  <c r="Z30" i="1"/>
  <c r="Z14" i="1"/>
  <c r="Z6" i="1"/>
  <c r="L34" i="1"/>
  <c r="AB34" i="1" s="1"/>
  <c r="Z37" i="1"/>
  <c r="L22" i="1"/>
  <c r="AB22" i="1" s="1"/>
  <c r="L14" i="1"/>
  <c r="D21" i="1"/>
  <c r="C22" i="1" s="1"/>
  <c r="C25" i="1" s="1"/>
  <c r="C33" i="1" s="1"/>
  <c r="W3" i="1"/>
  <c r="X3" i="1" s="1"/>
  <c r="L49" i="1"/>
  <c r="M49" i="1" s="1"/>
  <c r="L44" i="1"/>
  <c r="M44" i="1" s="1"/>
  <c r="L39" i="1"/>
  <c r="L17" i="1"/>
  <c r="AB17" i="1" s="1"/>
  <c r="W5" i="1"/>
  <c r="X5" i="1" s="1"/>
  <c r="L11" i="1"/>
  <c r="M11" i="1" s="1"/>
  <c r="W52" i="1"/>
  <c r="Z48" i="1"/>
  <c r="L28" i="1"/>
  <c r="AB28" i="1" s="1"/>
  <c r="L23" i="1"/>
  <c r="Z20" i="1"/>
  <c r="Z4" i="1"/>
  <c r="L43" i="1"/>
  <c r="AB43" i="1" s="1"/>
  <c r="L13" i="1"/>
  <c r="AB13" i="1" s="1"/>
  <c r="Z53" i="1"/>
  <c r="Z29" i="1"/>
  <c r="Z21" i="1"/>
  <c r="Z5" i="1"/>
  <c r="Z8" i="1"/>
  <c r="Z26" i="1"/>
  <c r="W20" i="1"/>
  <c r="W8" i="1"/>
  <c r="L50" i="1"/>
  <c r="AB50" i="1" s="1"/>
  <c r="Z52" i="1"/>
  <c r="Z44" i="1"/>
  <c r="Z36" i="1"/>
  <c r="Z12" i="1"/>
  <c r="Z31" i="1"/>
  <c r="Z23" i="1"/>
  <c r="W48" i="1"/>
  <c r="X48" i="1" s="1"/>
  <c r="Z39" i="1"/>
  <c r="W26" i="1"/>
  <c r="X26" i="1" s="1"/>
  <c r="L45" i="1"/>
  <c r="L52" i="1"/>
  <c r="M52" i="1" s="1"/>
  <c r="L41" i="1"/>
  <c r="Z32" i="1"/>
  <c r="Z24" i="1"/>
  <c r="Z16" i="1"/>
  <c r="M36" i="1"/>
  <c r="AD36" i="1" s="1"/>
  <c r="L21" i="1"/>
  <c r="AB21" i="1" s="1"/>
  <c r="L19" i="1"/>
  <c r="AB19" i="1" s="1"/>
  <c r="L12" i="1"/>
  <c r="AB12" i="1" s="1"/>
  <c r="L10" i="1"/>
  <c r="Z15" i="1"/>
  <c r="Z7" i="1"/>
  <c r="L47" i="1"/>
  <c r="M47" i="1" s="1"/>
  <c r="L5" i="1"/>
  <c r="AB5" i="1" s="1"/>
  <c r="M38" i="1"/>
  <c r="AD38" i="1" s="1"/>
  <c r="L27" i="1"/>
  <c r="L18" i="1"/>
  <c r="AB18" i="1" s="1"/>
  <c r="L7" i="1"/>
  <c r="M7" i="1" s="1"/>
  <c r="Z47" i="1"/>
  <c r="W39" i="1"/>
  <c r="X39" i="1" s="1"/>
  <c r="W15" i="1"/>
  <c r="X15" i="1" s="1"/>
  <c r="L53" i="1"/>
  <c r="L51" i="1"/>
  <c r="AB51" i="1" s="1"/>
  <c r="L42" i="1"/>
  <c r="AB42" i="1" s="1"/>
  <c r="L31" i="1"/>
  <c r="AB31" i="1" s="1"/>
  <c r="L29" i="1"/>
  <c r="AB29" i="1" s="1"/>
  <c r="W47" i="1"/>
  <c r="X47" i="1" s="1"/>
  <c r="L6" i="1"/>
  <c r="AB6" i="1" s="1"/>
  <c r="W41" i="1"/>
  <c r="X41" i="1" s="1"/>
  <c r="M46" i="1"/>
  <c r="AD46" i="1" s="1"/>
  <c r="L37" i="1"/>
  <c r="L30" i="1"/>
  <c r="AB30" i="1" s="1"/>
  <c r="L26" i="1"/>
  <c r="AB26" i="1" s="1"/>
  <c r="L15" i="1"/>
  <c r="Z40" i="1"/>
  <c r="W34" i="1"/>
  <c r="X34" i="1" s="1"/>
  <c r="W49" i="1"/>
  <c r="X49" i="1" s="1"/>
  <c r="W24" i="1"/>
  <c r="X24" i="1" s="1"/>
  <c r="Z17" i="1"/>
  <c r="Z51" i="1"/>
  <c r="Z43" i="1"/>
  <c r="Z35" i="1"/>
  <c r="Z27" i="1"/>
  <c r="Z19" i="1"/>
  <c r="Z11" i="1"/>
  <c r="W33" i="1"/>
  <c r="X33" i="1" s="1"/>
  <c r="W27" i="1"/>
  <c r="Z50" i="1"/>
  <c r="Z42" i="1"/>
  <c r="Z18" i="1"/>
  <c r="Z10" i="1"/>
  <c r="Z49" i="1"/>
  <c r="Z41" i="1"/>
  <c r="Z33" i="1"/>
  <c r="Z25" i="1"/>
  <c r="Z9" i="1"/>
  <c r="L48" i="1"/>
  <c r="L40" i="1"/>
  <c r="M40" i="1" s="1"/>
  <c r="L32" i="1"/>
  <c r="M32" i="1" s="1"/>
  <c r="L24" i="1"/>
  <c r="AB24" i="1" s="1"/>
  <c r="L16" i="1"/>
  <c r="L8" i="1"/>
  <c r="M8" i="1" s="1"/>
  <c r="L35" i="1"/>
  <c r="AB35" i="1" s="1"/>
  <c r="L3" i="1"/>
  <c r="AB46" i="1"/>
  <c r="AB36" i="1"/>
  <c r="E26" i="1"/>
  <c r="AD45" i="1" l="1"/>
  <c r="AD39" i="1"/>
  <c r="AD48" i="1"/>
  <c r="AD53" i="1"/>
  <c r="AD16" i="1"/>
  <c r="AD7" i="1"/>
  <c r="AD14" i="1"/>
  <c r="AD4" i="1"/>
  <c r="AD32" i="1"/>
  <c r="C30" i="1"/>
  <c r="AD11" i="1"/>
  <c r="Y40" i="1"/>
  <c r="AA40" i="1" s="1"/>
  <c r="AC40" i="1" s="1"/>
  <c r="AD50" i="1"/>
  <c r="M9" i="1"/>
  <c r="AD9" i="1"/>
  <c r="AD44" i="1"/>
  <c r="AD47" i="1"/>
  <c r="AB7" i="1"/>
  <c r="AD5" i="1"/>
  <c r="AD18" i="1"/>
  <c r="AD40" i="1"/>
  <c r="AB3" i="1"/>
  <c r="Y32" i="1"/>
  <c r="AA32" i="1" s="1"/>
  <c r="AC32" i="1" s="1"/>
  <c r="Y44" i="1"/>
  <c r="AA44" i="1" s="1"/>
  <c r="AC44" i="1" s="1"/>
  <c r="Y7" i="1"/>
  <c r="AA7" i="1" s="1"/>
  <c r="AC7" i="1" s="1"/>
  <c r="M25" i="1"/>
  <c r="Y25" i="1" s="1"/>
  <c r="AA25" i="1" s="1"/>
  <c r="AB37" i="1"/>
  <c r="AB20" i="1"/>
  <c r="M22" i="1"/>
  <c r="Y22" i="1" s="1"/>
  <c r="AA22" i="1" s="1"/>
  <c r="AC22" i="1" s="1"/>
  <c r="M3" i="1"/>
  <c r="AB49" i="1"/>
  <c r="M34" i="1"/>
  <c r="Y9" i="1"/>
  <c r="AA9" i="1" s="1"/>
  <c r="X52" i="1"/>
  <c r="Y52" i="1" s="1"/>
  <c r="AA52" i="1" s="1"/>
  <c r="AC52" i="1" s="1"/>
  <c r="AB39" i="1"/>
  <c r="M39" i="1"/>
  <c r="Y39" i="1" s="1"/>
  <c r="AA39" i="1" s="1"/>
  <c r="AB14" i="1"/>
  <c r="M20" i="1"/>
  <c r="AD20" i="1" s="1"/>
  <c r="M19" i="1"/>
  <c r="Y19" i="1" s="1"/>
  <c r="AA19" i="1" s="1"/>
  <c r="AC19" i="1" s="1"/>
  <c r="X20" i="1"/>
  <c r="Y20" i="1" s="1"/>
  <c r="AA20" i="1" s="1"/>
  <c r="AC20" i="1" s="1"/>
  <c r="AB45" i="1"/>
  <c r="M4" i="1"/>
  <c r="Y4" i="1" s="1"/>
  <c r="AA4" i="1" s="1"/>
  <c r="M33" i="1"/>
  <c r="AB44" i="1"/>
  <c r="AB23" i="1"/>
  <c r="M42" i="1"/>
  <c r="M53" i="1"/>
  <c r="Y53" i="1" s="1"/>
  <c r="AA53" i="1" s="1"/>
  <c r="Y49" i="1"/>
  <c r="AA49" i="1" s="1"/>
  <c r="AB27" i="1"/>
  <c r="M15" i="1"/>
  <c r="M14" i="1"/>
  <c r="Y14" i="1" s="1"/>
  <c r="AA14" i="1" s="1"/>
  <c r="M12" i="1"/>
  <c r="Y12" i="1" s="1"/>
  <c r="AA12" i="1" s="1"/>
  <c r="AC12" i="1" s="1"/>
  <c r="AB15" i="1"/>
  <c r="M27" i="1"/>
  <c r="AD27" i="1" s="1"/>
  <c r="AB16" i="1"/>
  <c r="Y47" i="1"/>
  <c r="AA47" i="1" s="1"/>
  <c r="AC47" i="1" s="1"/>
  <c r="M17" i="1"/>
  <c r="Y17" i="1" s="1"/>
  <c r="AA17" i="1" s="1"/>
  <c r="Y38" i="1"/>
  <c r="AA38" i="1" s="1"/>
  <c r="AC38" i="1" s="1"/>
  <c r="Y36" i="1"/>
  <c r="AA36" i="1" s="1"/>
  <c r="AC36" i="1" s="1"/>
  <c r="M21" i="1"/>
  <c r="M35" i="1"/>
  <c r="AB32" i="1"/>
  <c r="M5" i="1"/>
  <c r="Y5" i="1" s="1"/>
  <c r="AA5" i="1" s="1"/>
  <c r="AC5" i="1" s="1"/>
  <c r="AB53" i="1"/>
  <c r="X8" i="1"/>
  <c r="Y8" i="1" s="1"/>
  <c r="AA8" i="1" s="1"/>
  <c r="AC8" i="1" s="1"/>
  <c r="Y46" i="1"/>
  <c r="AA46" i="1" s="1"/>
  <c r="AC46" i="1" s="1"/>
  <c r="M29" i="1"/>
  <c r="M23" i="1"/>
  <c r="M28" i="1"/>
  <c r="M13" i="1"/>
  <c r="AB11" i="1"/>
  <c r="AB41" i="1"/>
  <c r="M45" i="1"/>
  <c r="Y45" i="1" s="1"/>
  <c r="AA45" i="1" s="1"/>
  <c r="M50" i="1"/>
  <c r="Y50" i="1" s="1"/>
  <c r="AA50" i="1" s="1"/>
  <c r="AC50" i="1" s="1"/>
  <c r="M43" i="1"/>
  <c r="Y43" i="1" s="1"/>
  <c r="AA43" i="1" s="1"/>
  <c r="M26" i="1"/>
  <c r="AB52" i="1"/>
  <c r="M31" i="1"/>
  <c r="AB47" i="1"/>
  <c r="M10" i="1"/>
  <c r="Y10" i="1" s="1"/>
  <c r="AA10" i="1" s="1"/>
  <c r="AC10" i="1" s="1"/>
  <c r="M30" i="1"/>
  <c r="Y30" i="1" s="1"/>
  <c r="AA30" i="1" s="1"/>
  <c r="AC30" i="1" s="1"/>
  <c r="M51" i="1"/>
  <c r="X27" i="1"/>
  <c r="AB8" i="1"/>
  <c r="AB10" i="1"/>
  <c r="M37" i="1"/>
  <c r="M18" i="1"/>
  <c r="Y18" i="1" s="1"/>
  <c r="AA18" i="1" s="1"/>
  <c r="AC18" i="1" s="1"/>
  <c r="M6" i="1"/>
  <c r="Y6" i="1" s="1"/>
  <c r="AA6" i="1" s="1"/>
  <c r="M41" i="1"/>
  <c r="M48" i="1"/>
  <c r="Y48" i="1" s="1"/>
  <c r="AA48" i="1" s="1"/>
  <c r="AC48" i="1" s="1"/>
  <c r="AB48" i="1"/>
  <c r="M24" i="1"/>
  <c r="Y24" i="1" s="1"/>
  <c r="AA24" i="1" s="1"/>
  <c r="AC24" i="1" s="1"/>
  <c r="M16" i="1"/>
  <c r="Y16" i="1" s="1"/>
  <c r="AA16" i="1" s="1"/>
  <c r="AC16" i="1" s="1"/>
  <c r="Y11" i="1"/>
  <c r="AA11" i="1" s="1"/>
  <c r="AC11" i="1" s="1"/>
  <c r="AB40" i="1"/>
  <c r="AC39" i="1" l="1"/>
  <c r="AE39" i="1"/>
  <c r="Y37" i="1"/>
  <c r="AA37" i="1" s="1"/>
  <c r="AD37" i="1"/>
  <c r="Y31" i="1"/>
  <c r="AA31" i="1" s="1"/>
  <c r="AC31" i="1" s="1"/>
  <c r="AD31" i="1"/>
  <c r="AE53" i="1"/>
  <c r="AD17" i="1"/>
  <c r="AE17" i="1" s="1"/>
  <c r="AD6" i="1"/>
  <c r="AE6" i="1" s="1"/>
  <c r="Y34" i="1"/>
  <c r="AA34" i="1" s="1"/>
  <c r="AC34" i="1" s="1"/>
  <c r="AD34" i="1"/>
  <c r="Y42" i="1"/>
  <c r="AA42" i="1" s="1"/>
  <c r="AC42" i="1" s="1"/>
  <c r="AD42" i="1"/>
  <c r="Y3" i="1"/>
  <c r="AA3" i="1" s="1"/>
  <c r="AE3" i="1" s="1"/>
  <c r="AD3" i="1"/>
  <c r="Y35" i="1"/>
  <c r="AA35" i="1" s="1"/>
  <c r="AC35" i="1" s="1"/>
  <c r="AD35" i="1"/>
  <c r="AD24" i="1"/>
  <c r="Y21" i="1"/>
  <c r="AA21" i="1" s="1"/>
  <c r="AC21" i="1" s="1"/>
  <c r="AD21" i="1"/>
  <c r="Y13" i="1"/>
  <c r="AA13" i="1" s="1"/>
  <c r="AC13" i="1" s="1"/>
  <c r="Y51" i="1"/>
  <c r="AA51" i="1" s="1"/>
  <c r="AC51" i="1" s="1"/>
  <c r="AD51" i="1"/>
  <c r="Y29" i="1"/>
  <c r="AA29" i="1" s="1"/>
  <c r="AC29" i="1" s="1"/>
  <c r="AD29" i="1"/>
  <c r="Y33" i="1"/>
  <c r="AA33" i="1" s="1"/>
  <c r="AC33" i="1" s="1"/>
  <c r="AD33" i="1"/>
  <c r="AD43" i="1"/>
  <c r="AD22" i="1"/>
  <c r="AE22" i="1" s="1"/>
  <c r="AD30" i="1"/>
  <c r="AE30" i="1" s="1"/>
  <c r="Y28" i="1"/>
  <c r="AA28" i="1" s="1"/>
  <c r="AC28" i="1" s="1"/>
  <c r="AD28" i="1"/>
  <c r="Y26" i="1"/>
  <c r="AA26" i="1" s="1"/>
  <c r="AC26" i="1" s="1"/>
  <c r="AD26" i="1"/>
  <c r="Y23" i="1"/>
  <c r="AA23" i="1" s="1"/>
  <c r="AC23" i="1" s="1"/>
  <c r="AD23" i="1"/>
  <c r="AD12" i="1"/>
  <c r="AE12" i="1" s="1"/>
  <c r="Y41" i="1"/>
  <c r="AA41" i="1" s="1"/>
  <c r="AC41" i="1" s="1"/>
  <c r="AD41" i="1"/>
  <c r="Y15" i="1"/>
  <c r="AA15" i="1" s="1"/>
  <c r="AC15" i="1" s="1"/>
  <c r="AD15" i="1"/>
  <c r="AE15" i="1" s="1"/>
  <c r="AD13" i="1"/>
  <c r="AD19" i="1"/>
  <c r="AD25" i="1"/>
  <c r="AD10" i="1"/>
  <c r="AE9" i="1"/>
  <c r="AE44" i="1"/>
  <c r="AE25" i="1"/>
  <c r="AC9" i="1"/>
  <c r="AE36" i="1"/>
  <c r="AE40" i="1"/>
  <c r="AE11" i="1"/>
  <c r="AE20" i="1"/>
  <c r="AE5" i="1"/>
  <c r="AC49" i="1"/>
  <c r="AE49" i="1"/>
  <c r="AC4" i="1"/>
  <c r="AE4" i="1"/>
  <c r="Y27" i="1"/>
  <c r="AA27" i="1" s="1"/>
  <c r="AC27" i="1" s="1"/>
  <c r="AE52" i="1"/>
  <c r="AC25" i="1"/>
  <c r="AE50" i="1"/>
  <c r="AC14" i="1"/>
  <c r="AE14" i="1"/>
  <c r="AE38" i="1"/>
  <c r="AE7" i="1"/>
  <c r="AE32" i="1"/>
  <c r="AE47" i="1"/>
  <c r="AC17" i="1"/>
  <c r="AE19" i="1"/>
  <c r="AE46" i="1"/>
  <c r="AC6" i="1"/>
  <c r="AC37" i="1"/>
  <c r="AC53" i="1"/>
  <c r="AE18" i="1"/>
  <c r="AE8" i="1"/>
  <c r="AE10" i="1"/>
  <c r="AE24" i="1"/>
  <c r="AE16" i="1"/>
  <c r="AE21" i="1"/>
  <c r="AC43" i="1"/>
  <c r="AE43" i="1"/>
  <c r="AE48" i="1"/>
  <c r="AC45" i="1"/>
  <c r="AE45" i="1"/>
  <c r="AE51" i="1" l="1"/>
  <c r="AE41" i="1"/>
  <c r="AE34" i="1"/>
  <c r="AE29" i="1"/>
  <c r="AE42" i="1"/>
  <c r="AE31" i="1"/>
  <c r="AE35" i="1"/>
  <c r="AC3" i="1"/>
  <c r="AE28" i="1"/>
  <c r="AE23" i="1"/>
  <c r="AE26" i="1"/>
  <c r="AE13" i="1"/>
  <c r="AE33" i="1"/>
  <c r="AE37" i="1"/>
  <c r="AE27" i="1"/>
</calcChain>
</file>

<file path=xl/sharedStrings.xml><?xml version="1.0" encoding="utf-8"?>
<sst xmlns="http://schemas.openxmlformats.org/spreadsheetml/2006/main" count="57" uniqueCount="46">
  <si>
    <t>预期汇率</t>
  </si>
  <si>
    <t>当日汇率</t>
  </si>
  <si>
    <t>当日银行结售汇锚定利率</t>
  </si>
  <si>
    <t>当日购汇花费</t>
  </si>
  <si>
    <t>购汇溢价率</t>
  </si>
  <si>
    <t>定存收益</t>
  </si>
  <si>
    <t>期限（月）</t>
  </si>
  <si>
    <t>到期美元账户</t>
  </si>
  <si>
    <t>到期结汇所得人民币</t>
  </si>
  <si>
    <t>净花费-对冲前</t>
  </si>
  <si>
    <t>净花费-对冲后</t>
  </si>
  <si>
    <t>预估汇率变动</t>
  </si>
  <si>
    <t>预估花费变动</t>
  </si>
  <si>
    <t>USD</t>
  </si>
  <si>
    <t>当日购汇后美元账户余额</t>
  </si>
  <si>
    <t>国内三月国债利率（年化复利）</t>
  </si>
  <si>
    <t>https://stock.finance.sina.com.cn/forex/globalbd/gcny3.html</t>
  </si>
  <si>
    <r>
      <t>当日银行挂牌</t>
    </r>
    <r>
      <rPr>
        <b/>
        <u/>
        <sz val="12"/>
        <color theme="0"/>
        <rFont val="Times New Roman"/>
        <family val="1"/>
      </rPr>
      <t>购汇</t>
    </r>
    <r>
      <rPr>
        <sz val="12"/>
        <color theme="0"/>
        <rFont val="Times New Roman"/>
        <family val="1"/>
      </rPr>
      <t>汇率（工行）</t>
    </r>
  </si>
  <si>
    <r>
      <t>当日银行挂牌</t>
    </r>
    <r>
      <rPr>
        <b/>
        <u/>
        <sz val="12"/>
        <color theme="0"/>
        <rFont val="Times New Roman"/>
        <family val="1"/>
      </rPr>
      <t>结汇</t>
    </r>
    <r>
      <rPr>
        <sz val="12"/>
        <color theme="0"/>
        <rFont val="Times New Roman"/>
        <family val="1"/>
      </rPr>
      <t>汇率（工行）</t>
    </r>
  </si>
  <si>
    <r>
      <t>当日银行挂牌</t>
    </r>
    <r>
      <rPr>
        <b/>
        <u/>
        <sz val="10"/>
        <color theme="0"/>
        <rFont val="Microsoft YaHei UI"/>
        <family val="2"/>
        <charset val="134"/>
      </rPr>
      <t>购汇</t>
    </r>
    <r>
      <rPr>
        <sz val="10"/>
        <color theme="0"/>
        <rFont val="Microsoft YaHei UI"/>
        <family val="2"/>
        <charset val="134"/>
      </rPr>
      <t>汇率（工行）</t>
    </r>
  </si>
  <si>
    <r>
      <t>当日银行挂牌</t>
    </r>
    <r>
      <rPr>
        <b/>
        <u/>
        <sz val="10"/>
        <color theme="0"/>
        <rFont val="Microsoft YaHei UI"/>
        <family val="2"/>
        <charset val="134"/>
      </rPr>
      <t>结汇</t>
    </r>
    <r>
      <rPr>
        <sz val="10"/>
        <color theme="0"/>
        <rFont val="Microsoft YaHei UI"/>
        <family val="2"/>
        <charset val="134"/>
      </rPr>
      <t>汇率（工行）</t>
    </r>
  </si>
  <si>
    <t>工行三月期美元定存利率（年化复利）</t>
  </si>
  <si>
    <t>案例需求总额$</t>
  </si>
  <si>
    <t>案例需求总额 $</t>
  </si>
  <si>
    <t>当日购汇花费 ¥</t>
  </si>
  <si>
    <t>当日购汇后美元账户余额 $</t>
  </si>
  <si>
    <t>美元定存收益 $</t>
  </si>
  <si>
    <t>到期美元账户 $</t>
  </si>
  <si>
    <t>到期结汇所得人民币 ¥</t>
  </si>
  <si>
    <t>净花费-对冲前 ¥</t>
  </si>
  <si>
    <t>净花费-对冲后 ¥</t>
  </si>
  <si>
    <t>汇率上涨导致的花费变动（FV-PV）- 对冲前</t>
  </si>
  <si>
    <t>汇率上涨导致的花费变动（FV-PV）- 对冲后</t>
  </si>
  <si>
    <t>CNY</t>
  </si>
  <si>
    <t>USDCNY=X</t>
  </si>
  <si>
    <t>国内三月国债利率
（年化复利）</t>
  </si>
  <si>
    <t>三月期美元定存利率
（年化复利）</t>
  </si>
  <si>
    <t>需要输入的数据</t>
  </si>
  <si>
    <t>自动计算的数据</t>
  </si>
  <si>
    <t>参考数据</t>
  </si>
  <si>
    <t>指标</t>
  </si>
  <si>
    <t>对冲所使用本金 $</t>
  </si>
  <si>
    <t>对冲比例</t>
  </si>
  <si>
    <t>汇率波动导致的花费变动（FV-PV）- 对冲后</t>
  </si>
  <si>
    <t>汇率波动导致的花费变动（FV-PV）- 对冲前</t>
  </si>
  <si>
    <t>三个月后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</si>
</sst>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000%"/>
    <numFmt numFmtId="165" formatCode="0.0000"/>
    <numFmt numFmtId="166" formatCode="&quot;$&quot;#,##0.00"/>
    <numFmt numFmtId="167" formatCode="[$¥-804]#,##0.00;[Red][$¥-804]\-#,##0.00"/>
    <numFmt numFmtId="171" formatCode="0.0000000000000000%"/>
  </numFmts>
  <fonts count="16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Times New Roman"/>
      <family val="1"/>
    </font>
    <font>
      <b/>
      <u/>
      <sz val="12"/>
      <color theme="1"/>
      <name val="Times New Roman"/>
      <family val="1"/>
    </font>
    <font>
      <b/>
      <sz val="12"/>
      <color theme="1"/>
      <name val="Times New Roman"/>
      <family val="1"/>
    </font>
    <font>
      <u/>
      <sz val="12"/>
      <color theme="10"/>
      <name val="Aptos Narrow"/>
      <family val="2"/>
      <scheme val="minor"/>
    </font>
    <font>
      <sz val="12"/>
      <color theme="0"/>
      <name val="Times New Roman"/>
      <family val="1"/>
    </font>
    <font>
      <b/>
      <u/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12"/>
      <color theme="1"/>
      <name val="Microsoft YaHei UI"/>
      <family val="2"/>
      <charset val="134"/>
    </font>
    <font>
      <sz val="10"/>
      <color theme="0"/>
      <name val="Microsoft YaHei UI"/>
      <family val="2"/>
      <charset val="134"/>
    </font>
    <font>
      <b/>
      <u/>
      <sz val="10"/>
      <color theme="0"/>
      <name val="Microsoft YaHei UI"/>
      <family val="2"/>
      <charset val="134"/>
    </font>
    <font>
      <b/>
      <sz val="10"/>
      <color theme="0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0"/>
      <color theme="0"/>
      <name val="Microsoft YaHei"/>
      <family val="2"/>
      <charset val="134"/>
    </font>
    <font>
      <i/>
      <sz val="10"/>
      <color theme="0"/>
      <name val="Microsoft YaHei UI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theme="1"/>
      </bottom>
      <diagonal/>
    </border>
    <border>
      <left style="mediumDashed">
        <color theme="1"/>
      </left>
      <right style="mediumDashed">
        <color theme="1"/>
      </right>
      <top style="mediumDashed">
        <color theme="1"/>
      </top>
      <bottom/>
      <diagonal/>
    </border>
    <border>
      <left style="mediumDashed">
        <color theme="1"/>
      </left>
      <right style="mediumDashed">
        <color theme="1"/>
      </right>
      <top/>
      <bottom style="mediumDashed">
        <color theme="1"/>
      </bottom>
      <diagonal/>
    </border>
    <border>
      <left/>
      <right style="mediumDashed">
        <color theme="1"/>
      </right>
      <top/>
      <bottom style="mediumDashed">
        <color theme="1"/>
      </bottom>
      <diagonal/>
    </border>
    <border>
      <left/>
      <right/>
      <top/>
      <bottom style="mediumDashed">
        <color theme="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106">
    <xf numFmtId="0" fontId="0" fillId="0" borderId="0" xfId="0"/>
    <xf numFmtId="0" fontId="2" fillId="0" borderId="0" xfId="0" applyFont="1"/>
    <xf numFmtId="167" fontId="2" fillId="0" borderId="0" xfId="0" applyNumberFormat="1" applyFont="1"/>
    <xf numFmtId="8" fontId="2" fillId="0" borderId="0" xfId="0" applyNumberFormat="1" applyFont="1"/>
    <xf numFmtId="0" fontId="2" fillId="0" borderId="0" xfId="0" applyFont="1" applyAlignment="1">
      <alignment horizontal="center" vertical="center"/>
    </xf>
    <xf numFmtId="0" fontId="5" fillId="0" borderId="0" xfId="3"/>
    <xf numFmtId="0" fontId="2" fillId="2" borderId="0" xfId="0" applyFont="1" applyFill="1"/>
    <xf numFmtId="0" fontId="2" fillId="4" borderId="0" xfId="0" applyFont="1" applyFill="1"/>
    <xf numFmtId="165" fontId="2" fillId="4" borderId="0" xfId="0" applyNumberFormat="1" applyFont="1" applyFill="1"/>
    <xf numFmtId="164" fontId="2" fillId="6" borderId="0" xfId="2" applyNumberFormat="1" applyFont="1" applyFill="1"/>
    <xf numFmtId="0" fontId="3" fillId="6" borderId="0" xfId="0" applyFont="1" applyFill="1"/>
    <xf numFmtId="10" fontId="2" fillId="4" borderId="0" xfId="0" applyNumberFormat="1" applyFont="1" applyFill="1"/>
    <xf numFmtId="165" fontId="2" fillId="8" borderId="0" xfId="0" applyNumberFormat="1" applyFont="1" applyFill="1"/>
    <xf numFmtId="166" fontId="2" fillId="4" borderId="0" xfId="1" applyNumberFormat="1" applyFont="1" applyFill="1"/>
    <xf numFmtId="0" fontId="2" fillId="6" borderId="0" xfId="0" applyFont="1" applyFill="1"/>
    <xf numFmtId="167" fontId="2" fillId="6" borderId="0" xfId="0" applyNumberFormat="1" applyFont="1" applyFill="1"/>
    <xf numFmtId="166" fontId="2" fillId="6" borderId="0" xfId="1" applyNumberFormat="1" applyFont="1" applyFill="1"/>
    <xf numFmtId="0" fontId="10" fillId="7" borderId="0" xfId="0" applyFont="1" applyFill="1" applyAlignment="1">
      <alignment horizontal="left" vertical="center"/>
    </xf>
    <xf numFmtId="0" fontId="10" fillId="3" borderId="0" xfId="0" applyFont="1" applyFill="1" applyAlignment="1">
      <alignment horizontal="left" vertical="center"/>
    </xf>
    <xf numFmtId="0" fontId="10" fillId="5" borderId="0" xfId="0" applyFont="1" applyFill="1" applyAlignment="1">
      <alignment horizontal="left" vertical="center"/>
    </xf>
    <xf numFmtId="0" fontId="12" fillId="3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0" fillId="3" borderId="1" xfId="0" applyFont="1" applyFill="1" applyBorder="1" applyAlignment="1">
      <alignment horizontal="left" vertical="center"/>
    </xf>
    <xf numFmtId="164" fontId="2" fillId="4" borderId="1" xfId="0" applyNumberFormat="1" applyFont="1" applyFill="1" applyBorder="1"/>
    <xf numFmtId="0" fontId="13" fillId="0" borderId="2" xfId="0" applyFont="1" applyBorder="1" applyAlignment="1">
      <alignment horizontal="left" vertical="center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12" fillId="5" borderId="0" xfId="0" applyFont="1" applyFill="1" applyBorder="1" applyAlignment="1">
      <alignment horizontal="left" vertical="center"/>
    </xf>
    <xf numFmtId="0" fontId="2" fillId="6" borderId="0" xfId="0" applyFont="1" applyFill="1" applyBorder="1"/>
    <xf numFmtId="167" fontId="4" fillId="6" borderId="0" xfId="0" applyNumberFormat="1" applyFont="1" applyFill="1" applyBorder="1"/>
    <xf numFmtId="0" fontId="12" fillId="5" borderId="1" xfId="0" applyFont="1" applyFill="1" applyBorder="1" applyAlignment="1">
      <alignment horizontal="left" vertical="center"/>
    </xf>
    <xf numFmtId="0" fontId="2" fillId="6" borderId="1" xfId="0" applyFont="1" applyFill="1" applyBorder="1"/>
    <xf numFmtId="167" fontId="4" fillId="6" borderId="1" xfId="0" applyNumberFormat="1" applyFont="1" applyFill="1" applyBorder="1"/>
    <xf numFmtId="0" fontId="10" fillId="5" borderId="3" xfId="0" applyFont="1" applyFill="1" applyBorder="1" applyAlignment="1">
      <alignment horizontal="left" vertical="center"/>
    </xf>
    <xf numFmtId="0" fontId="2" fillId="6" borderId="3" xfId="0" applyFont="1" applyFill="1" applyBorder="1"/>
    <xf numFmtId="167" fontId="2" fillId="6" borderId="3" xfId="0" applyNumberFormat="1" applyFont="1" applyFill="1" applyBorder="1"/>
    <xf numFmtId="0" fontId="2" fillId="0" borderId="0" xfId="0" applyFont="1" applyBorder="1"/>
    <xf numFmtId="0" fontId="10" fillId="0" borderId="0" xfId="0" applyFont="1" applyFill="1" applyBorder="1" applyAlignment="1">
      <alignment horizontal="left" vertical="center"/>
    </xf>
    <xf numFmtId="164" fontId="2" fillId="0" borderId="0" xfId="0" applyNumberFormat="1" applyFont="1" applyFill="1" applyBorder="1"/>
    <xf numFmtId="0" fontId="2" fillId="0" borderId="0" xfId="0" applyFont="1" applyFill="1" applyBorder="1"/>
    <xf numFmtId="0" fontId="2" fillId="0" borderId="1" xfId="0" applyFont="1" applyBorder="1" applyAlignment="1">
      <alignment horizontal="left" vertical="center"/>
    </xf>
    <xf numFmtId="0" fontId="15" fillId="9" borderId="0" xfId="0" applyFont="1" applyFill="1" applyAlignment="1">
      <alignment horizontal="left" vertical="center"/>
    </xf>
    <xf numFmtId="0" fontId="15" fillId="9" borderId="3" xfId="0" applyFont="1" applyFill="1" applyBorder="1" applyAlignment="1">
      <alignment horizontal="left" vertical="center"/>
    </xf>
    <xf numFmtId="0" fontId="2" fillId="10" borderId="0" xfId="0" applyFont="1" applyFill="1"/>
    <xf numFmtId="164" fontId="4" fillId="10" borderId="0" xfId="2" applyNumberFormat="1" applyFont="1" applyFill="1"/>
    <xf numFmtId="0" fontId="2" fillId="10" borderId="3" xfId="0" applyFont="1" applyFill="1" applyBorder="1"/>
    <xf numFmtId="164" fontId="4" fillId="10" borderId="3" xfId="2" applyNumberFormat="1" applyFont="1" applyFill="1" applyBorder="1"/>
    <xf numFmtId="0" fontId="2" fillId="0" borderId="0" xfId="0" applyFont="1" applyBorder="1" applyAlignment="1">
      <alignment horizontal="center" vertical="center" wrapText="1"/>
    </xf>
    <xf numFmtId="167" fontId="2" fillId="6" borderId="0" xfId="0" applyNumberFormat="1" applyFont="1" applyFill="1" applyBorder="1"/>
    <xf numFmtId="0" fontId="6" fillId="3" borderId="2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6" fillId="9" borderId="2" xfId="0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 wrapText="1"/>
    </xf>
    <xf numFmtId="165" fontId="2" fillId="4" borderId="0" xfId="0" applyNumberFormat="1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/>
    </xf>
    <xf numFmtId="164" fontId="2" fillId="6" borderId="0" xfId="2" applyNumberFormat="1" applyFont="1" applyFill="1" applyBorder="1" applyAlignment="1">
      <alignment horizontal="center" vertical="center"/>
    </xf>
    <xf numFmtId="165" fontId="2" fillId="2" borderId="0" xfId="0" applyNumberFormat="1" applyFont="1" applyFill="1" applyBorder="1" applyAlignment="1">
      <alignment horizontal="center" vertical="center"/>
    </xf>
    <xf numFmtId="10" fontId="2" fillId="4" borderId="0" xfId="0" applyNumberFormat="1" applyFont="1" applyFill="1" applyBorder="1" applyAlignment="1">
      <alignment horizontal="center" vertical="center"/>
    </xf>
    <xf numFmtId="164" fontId="2" fillId="4" borderId="0" xfId="0" applyNumberFormat="1" applyFont="1" applyFill="1" applyBorder="1" applyAlignment="1">
      <alignment horizontal="center" vertical="center"/>
    </xf>
    <xf numFmtId="166" fontId="2" fillId="4" borderId="0" xfId="1" applyNumberFormat="1" applyFont="1" applyFill="1" applyBorder="1" applyAlignment="1">
      <alignment horizontal="center" vertical="center"/>
    </xf>
    <xf numFmtId="167" fontId="2" fillId="6" borderId="0" xfId="0" applyNumberFormat="1" applyFont="1" applyFill="1" applyBorder="1" applyAlignment="1">
      <alignment horizontal="center" vertical="center"/>
    </xf>
    <xf numFmtId="166" fontId="2" fillId="6" borderId="0" xfId="1" applyNumberFormat="1" applyFont="1" applyFill="1" applyBorder="1" applyAlignment="1">
      <alignment horizontal="center" vertical="center"/>
    </xf>
    <xf numFmtId="164" fontId="2" fillId="10" borderId="0" xfId="2" applyNumberFormat="1" applyFont="1" applyFill="1" applyBorder="1" applyAlignment="1">
      <alignment horizontal="center" vertical="center"/>
    </xf>
    <xf numFmtId="167" fontId="4" fillId="6" borderId="0" xfId="0" applyNumberFormat="1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center" vertical="center"/>
    </xf>
    <xf numFmtId="167" fontId="2" fillId="6" borderId="0" xfId="0" applyNumberFormat="1" applyFont="1" applyFill="1" applyAlignment="1">
      <alignment horizontal="center" vertical="center"/>
    </xf>
    <xf numFmtId="166" fontId="2" fillId="6" borderId="0" xfId="1" applyNumberFormat="1" applyFont="1" applyFill="1" applyAlignment="1">
      <alignment horizontal="center" vertical="center"/>
    </xf>
    <xf numFmtId="164" fontId="2" fillId="10" borderId="0" xfId="2" applyNumberFormat="1" applyFont="1" applyFill="1" applyAlignment="1">
      <alignment horizontal="center" vertical="center"/>
    </xf>
    <xf numFmtId="167" fontId="4" fillId="6" borderId="0" xfId="0" applyNumberFormat="1" applyFont="1" applyFill="1" applyAlignment="1">
      <alignment horizontal="center" vertical="center"/>
    </xf>
    <xf numFmtId="165" fontId="2" fillId="4" borderId="1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164" fontId="2" fillId="6" borderId="1" xfId="2" applyNumberFormat="1" applyFont="1" applyFill="1" applyBorder="1" applyAlignment="1">
      <alignment horizontal="center" vertical="center"/>
    </xf>
    <xf numFmtId="165" fontId="2" fillId="2" borderId="1" xfId="0" applyNumberFormat="1" applyFont="1" applyFill="1" applyBorder="1" applyAlignment="1">
      <alignment horizontal="center" vertical="center"/>
    </xf>
    <xf numFmtId="10" fontId="2" fillId="4" borderId="1" xfId="0" applyNumberFormat="1" applyFont="1" applyFill="1" applyBorder="1" applyAlignment="1">
      <alignment horizontal="center" vertical="center"/>
    </xf>
    <xf numFmtId="167" fontId="2" fillId="6" borderId="1" xfId="0" applyNumberFormat="1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5" fillId="9" borderId="0" xfId="0" applyFont="1" applyFill="1" applyAlignment="1">
      <alignment horizontal="center" vertical="center"/>
    </xf>
    <xf numFmtId="14" fontId="2" fillId="0" borderId="1" xfId="0" applyNumberFormat="1" applyFont="1" applyBorder="1"/>
    <xf numFmtId="0" fontId="15" fillId="0" borderId="0" xfId="0" applyFont="1" applyFill="1" applyAlignment="1">
      <alignment horizontal="center" vertical="center"/>
    </xf>
    <xf numFmtId="10" fontId="4" fillId="10" borderId="0" xfId="2" applyNumberFormat="1" applyFont="1" applyFill="1"/>
    <xf numFmtId="0" fontId="2" fillId="4" borderId="4" xfId="0" applyFont="1" applyFill="1" applyBorder="1" applyAlignment="1">
      <alignment horizontal="center" vertical="center"/>
    </xf>
    <xf numFmtId="164" fontId="2" fillId="4" borderId="4" xfId="0" applyNumberFormat="1" applyFont="1" applyFill="1" applyBorder="1" applyAlignment="1">
      <alignment horizontal="center" vertical="center"/>
    </xf>
    <xf numFmtId="166" fontId="2" fillId="4" borderId="4" xfId="1" applyNumberFormat="1" applyFont="1" applyFill="1" applyBorder="1" applyAlignment="1">
      <alignment horizontal="center" vertical="center"/>
    </xf>
    <xf numFmtId="167" fontId="2" fillId="6" borderId="4" xfId="0" applyNumberFormat="1" applyFont="1" applyFill="1" applyBorder="1" applyAlignment="1">
      <alignment horizontal="center" vertical="center"/>
    </xf>
    <xf numFmtId="166" fontId="2" fillId="6" borderId="4" xfId="1" applyNumberFormat="1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left" vertical="center"/>
    </xf>
    <xf numFmtId="0" fontId="9" fillId="11" borderId="5" xfId="0" applyFont="1" applyFill="1" applyBorder="1" applyAlignment="1">
      <alignment horizontal="center" vertical="center"/>
    </xf>
    <xf numFmtId="0" fontId="9" fillId="11" borderId="6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left" vertical="center"/>
    </xf>
    <xf numFmtId="0" fontId="2" fillId="6" borderId="8" xfId="0" applyFont="1" applyFill="1" applyBorder="1"/>
    <xf numFmtId="166" fontId="2" fillId="6" borderId="8" xfId="1" applyNumberFormat="1" applyFont="1" applyFill="1" applyBorder="1"/>
    <xf numFmtId="0" fontId="2" fillId="6" borderId="7" xfId="0" applyFont="1" applyFill="1" applyBorder="1"/>
    <xf numFmtId="171" fontId="2" fillId="0" borderId="0" xfId="0" applyNumberFormat="1" applyFont="1"/>
    <xf numFmtId="166" fontId="2" fillId="0" borderId="0" xfId="0" applyNumberFormat="1" applyFont="1"/>
    <xf numFmtId="164" fontId="2" fillId="10" borderId="4" xfId="2" applyNumberFormat="1" applyFont="1" applyFill="1" applyBorder="1" applyAlignment="1">
      <alignment horizontal="center" vertical="center"/>
    </xf>
    <xf numFmtId="167" fontId="4" fillId="6" borderId="4" xfId="0" applyNumberFormat="1" applyFont="1" applyFill="1" applyBorder="1" applyAlignment="1">
      <alignment horizontal="center" vertical="center"/>
    </xf>
    <xf numFmtId="10" fontId="2" fillId="10" borderId="0" xfId="2" applyNumberFormat="1" applyFont="1" applyFill="1" applyBorder="1" applyAlignment="1">
      <alignment horizontal="center" vertical="center"/>
    </xf>
    <xf numFmtId="10" fontId="2" fillId="10" borderId="4" xfId="2" applyNumberFormat="1" applyFont="1" applyFill="1" applyBorder="1" applyAlignment="1">
      <alignment horizontal="center" vertical="center"/>
    </xf>
  </cellXfs>
  <cellStyles count="4">
    <cellStyle name="Currency" xfId="1" builtinId="4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Sheet1!$AD$2</c:f>
              <c:strCache>
                <c:ptCount val="1"/>
                <c:pt idx="0">
                  <c:v>汇率波动导致的花费变动（FV-PV）- 对冲前</c:v>
                </c:pt>
              </c:strCache>
            </c:strRef>
          </c:tx>
          <c:spPr>
            <a:ln w="28575" cap="rnd">
              <a:solidFill>
                <a:schemeClr val="tx2">
                  <a:lumMod val="50000"/>
                  <a:lumOff val="50000"/>
                  <a:alpha val="3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Sheet1!$N$3:$N$53</c:f>
              <c:numCache>
                <c:formatCode>0.0000</c:formatCode>
                <c:ptCount val="51"/>
                <c:pt idx="0">
                  <c:v>7.6</c:v>
                </c:pt>
                <c:pt idx="1">
                  <c:v>7.59</c:v>
                </c:pt>
                <c:pt idx="2">
                  <c:v>7.58</c:v>
                </c:pt>
                <c:pt idx="3">
                  <c:v>7.57</c:v>
                </c:pt>
                <c:pt idx="4">
                  <c:v>7.56</c:v>
                </c:pt>
                <c:pt idx="5">
                  <c:v>7.55</c:v>
                </c:pt>
                <c:pt idx="6">
                  <c:v>7.54</c:v>
                </c:pt>
                <c:pt idx="7">
                  <c:v>7.53</c:v>
                </c:pt>
                <c:pt idx="8">
                  <c:v>7.52</c:v>
                </c:pt>
                <c:pt idx="9">
                  <c:v>7.51</c:v>
                </c:pt>
                <c:pt idx="10">
                  <c:v>7.5</c:v>
                </c:pt>
                <c:pt idx="11">
                  <c:v>7.49</c:v>
                </c:pt>
                <c:pt idx="12">
                  <c:v>7.48</c:v>
                </c:pt>
                <c:pt idx="13">
                  <c:v>7.47</c:v>
                </c:pt>
                <c:pt idx="14">
                  <c:v>7.46</c:v>
                </c:pt>
                <c:pt idx="15">
                  <c:v>7.45</c:v>
                </c:pt>
                <c:pt idx="16">
                  <c:v>7.44</c:v>
                </c:pt>
                <c:pt idx="17">
                  <c:v>7.43</c:v>
                </c:pt>
                <c:pt idx="18">
                  <c:v>7.42</c:v>
                </c:pt>
                <c:pt idx="19">
                  <c:v>7.41</c:v>
                </c:pt>
                <c:pt idx="20">
                  <c:v>7.4</c:v>
                </c:pt>
                <c:pt idx="21">
                  <c:v>7.39</c:v>
                </c:pt>
                <c:pt idx="22">
                  <c:v>7.38</c:v>
                </c:pt>
                <c:pt idx="23">
                  <c:v>7.37</c:v>
                </c:pt>
                <c:pt idx="24">
                  <c:v>7.36</c:v>
                </c:pt>
                <c:pt idx="25">
                  <c:v>7.35</c:v>
                </c:pt>
                <c:pt idx="26">
                  <c:v>7.3400000000000096</c:v>
                </c:pt>
                <c:pt idx="27">
                  <c:v>7.3300000000000098</c:v>
                </c:pt>
                <c:pt idx="28">
                  <c:v>7.3200000000000101</c:v>
                </c:pt>
                <c:pt idx="29">
                  <c:v>7.3100000000000103</c:v>
                </c:pt>
                <c:pt idx="30">
                  <c:v>7.3000000000000096</c:v>
                </c:pt>
                <c:pt idx="31">
                  <c:v>7.2900000000000098</c:v>
                </c:pt>
                <c:pt idx="32">
                  <c:v>7.28000000000001</c:v>
                </c:pt>
                <c:pt idx="33">
                  <c:v>7.2700000000000102</c:v>
                </c:pt>
                <c:pt idx="34">
                  <c:v>7.2600000000000096</c:v>
                </c:pt>
                <c:pt idx="35">
                  <c:v>7.2500000000000098</c:v>
                </c:pt>
                <c:pt idx="36">
                  <c:v>7.24000000000001</c:v>
                </c:pt>
                <c:pt idx="37">
                  <c:v>7.2300000000000102</c:v>
                </c:pt>
                <c:pt idx="38">
                  <c:v>7.2200000000000104</c:v>
                </c:pt>
                <c:pt idx="39">
                  <c:v>7.2100000000000097</c:v>
                </c:pt>
                <c:pt idx="40">
                  <c:v>7.2000000000000099</c:v>
                </c:pt>
                <c:pt idx="41">
                  <c:v>7.1900000000000102</c:v>
                </c:pt>
                <c:pt idx="42">
                  <c:v>7.1800000000000104</c:v>
                </c:pt>
                <c:pt idx="43">
                  <c:v>7.1700000000000097</c:v>
                </c:pt>
                <c:pt idx="44">
                  <c:v>7.1600000000000099</c:v>
                </c:pt>
                <c:pt idx="45">
                  <c:v>7.1500000000000101</c:v>
                </c:pt>
                <c:pt idx="46">
                  <c:v>7.1400000000000103</c:v>
                </c:pt>
                <c:pt idx="47">
                  <c:v>7.1300000000000097</c:v>
                </c:pt>
                <c:pt idx="48">
                  <c:v>7.1200000000000099</c:v>
                </c:pt>
                <c:pt idx="49">
                  <c:v>7.1100000000000101</c:v>
                </c:pt>
                <c:pt idx="50">
                  <c:v>7.1000000000000103</c:v>
                </c:pt>
              </c:numCache>
            </c:numRef>
          </c:cat>
          <c:val>
            <c:numRef>
              <c:f>Sheet1!$AD$3:$AD$53</c:f>
              <c:numCache>
                <c:formatCode>[$¥-804]#,##0.00;[Red][$¥-804]\-#,##0.00</c:formatCode>
                <c:ptCount val="51"/>
                <c:pt idx="0">
                  <c:v>-10516.000606879814</c:v>
                </c:pt>
                <c:pt idx="1">
                  <c:v>-10215.371658712886</c:v>
                </c:pt>
                <c:pt idx="2">
                  <c:v>-9914.7427105459592</c:v>
                </c:pt>
                <c:pt idx="3">
                  <c:v>-9614.1137623790037</c:v>
                </c:pt>
                <c:pt idx="4">
                  <c:v>-9313.48481421205</c:v>
                </c:pt>
                <c:pt idx="5">
                  <c:v>-9012.8558660450944</c:v>
                </c:pt>
                <c:pt idx="6">
                  <c:v>-8712.226917878168</c:v>
                </c:pt>
                <c:pt idx="7">
                  <c:v>-8411.5979697112125</c:v>
                </c:pt>
                <c:pt idx="8">
                  <c:v>-8110.9690215442588</c:v>
                </c:pt>
                <c:pt idx="9">
                  <c:v>-7810.3400733773042</c:v>
                </c:pt>
                <c:pt idx="10">
                  <c:v>-7509.7111252103768</c:v>
                </c:pt>
                <c:pt idx="11">
                  <c:v>-7209.0821770434222</c:v>
                </c:pt>
                <c:pt idx="12">
                  <c:v>-6908.453228876494</c:v>
                </c:pt>
                <c:pt idx="13">
                  <c:v>-6607.824280709513</c:v>
                </c:pt>
                <c:pt idx="14">
                  <c:v>-6307.1953325425857</c:v>
                </c:pt>
                <c:pt idx="15">
                  <c:v>-6006.5663843756311</c:v>
                </c:pt>
                <c:pt idx="16">
                  <c:v>-5705.9374362087037</c:v>
                </c:pt>
                <c:pt idx="17">
                  <c:v>-5405.3084880417227</c:v>
                </c:pt>
                <c:pt idx="18">
                  <c:v>-5104.6795398747945</c:v>
                </c:pt>
                <c:pt idx="19">
                  <c:v>-4804.0505917078399</c:v>
                </c:pt>
                <c:pt idx="20">
                  <c:v>-4503.4216435409126</c:v>
                </c:pt>
                <c:pt idx="21">
                  <c:v>-4202.7926953739316</c:v>
                </c:pt>
                <c:pt idx="22">
                  <c:v>-3902.1637472070038</c:v>
                </c:pt>
                <c:pt idx="23">
                  <c:v>-3601.5347990400492</c:v>
                </c:pt>
                <c:pt idx="24">
                  <c:v>-3300.9058508731214</c:v>
                </c:pt>
                <c:pt idx="25">
                  <c:v>-3000.2769027061404</c:v>
                </c:pt>
                <c:pt idx="26">
                  <c:v>-2699.6479545395059</c:v>
                </c:pt>
                <c:pt idx="27">
                  <c:v>-2399.0190063725513</c:v>
                </c:pt>
                <c:pt idx="28">
                  <c:v>-2098.3900582056235</c:v>
                </c:pt>
                <c:pt idx="29">
                  <c:v>-1797.7611100386691</c:v>
                </c:pt>
                <c:pt idx="30">
                  <c:v>-1497.1321618717147</c:v>
                </c:pt>
                <c:pt idx="31">
                  <c:v>-1196.5032137047604</c:v>
                </c:pt>
                <c:pt idx="32">
                  <c:v>-895.87426553783268</c:v>
                </c:pt>
                <c:pt idx="33">
                  <c:v>-595.2453173708783</c:v>
                </c:pt>
                <c:pt idx="34">
                  <c:v>-294.61636920392385</c:v>
                </c:pt>
                <c:pt idx="35">
                  <c:v>6.0125789630305349</c:v>
                </c:pt>
                <c:pt idx="36">
                  <c:v>306.64152712995826</c:v>
                </c:pt>
                <c:pt idx="37">
                  <c:v>607.27047529691265</c:v>
                </c:pt>
                <c:pt idx="38">
                  <c:v>907.89942346384044</c:v>
                </c:pt>
                <c:pt idx="39">
                  <c:v>1208.5283716307949</c:v>
                </c:pt>
                <c:pt idx="40">
                  <c:v>1509.1573197977493</c:v>
                </c:pt>
                <c:pt idx="41">
                  <c:v>1809.7862679646771</c:v>
                </c:pt>
                <c:pt idx="42">
                  <c:v>2110.4152161316315</c:v>
                </c:pt>
                <c:pt idx="43">
                  <c:v>2411.0441642985857</c:v>
                </c:pt>
                <c:pt idx="44">
                  <c:v>2711.6731124655403</c:v>
                </c:pt>
                <c:pt idx="45">
                  <c:v>3012.3020606324681</c:v>
                </c:pt>
                <c:pt idx="46">
                  <c:v>3312.9310087994222</c:v>
                </c:pt>
                <c:pt idx="47">
                  <c:v>3613.5599569663768</c:v>
                </c:pt>
                <c:pt idx="48">
                  <c:v>3914.188905133331</c:v>
                </c:pt>
                <c:pt idx="49">
                  <c:v>4214.8178533002592</c:v>
                </c:pt>
                <c:pt idx="50">
                  <c:v>4515.4468014672129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CC-954B-A047-E9155A43B6B4}"/>
            </c:ext>
          </c:extLst>
        </c:ser>
        <c:ser>
          <c:idx val="1"/>
          <c:order val="1"/>
          <c:tx>
            <c:strRef>
              <c:f>Sheet1!$AE$2</c:f>
              <c:strCache>
                <c:ptCount val="1"/>
                <c:pt idx="0">
                  <c:v>汇率波动导致的花费变动（FV-PV）- 对冲后</c:v>
                </c:pt>
              </c:strCache>
            </c:strRef>
          </c:tx>
          <c:spPr>
            <a:ln w="28575" cap="rnd">
              <a:solidFill>
                <a:schemeClr val="tx2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Sheet1!$N$3:$N$53</c:f>
              <c:numCache>
                <c:formatCode>0.0000</c:formatCode>
                <c:ptCount val="51"/>
                <c:pt idx="0">
                  <c:v>7.6</c:v>
                </c:pt>
                <c:pt idx="1">
                  <c:v>7.59</c:v>
                </c:pt>
                <c:pt idx="2">
                  <c:v>7.58</c:v>
                </c:pt>
                <c:pt idx="3">
                  <c:v>7.57</c:v>
                </c:pt>
                <c:pt idx="4">
                  <c:v>7.56</c:v>
                </c:pt>
                <c:pt idx="5">
                  <c:v>7.55</c:v>
                </c:pt>
                <c:pt idx="6">
                  <c:v>7.54</c:v>
                </c:pt>
                <c:pt idx="7">
                  <c:v>7.53</c:v>
                </c:pt>
                <c:pt idx="8">
                  <c:v>7.52</c:v>
                </c:pt>
                <c:pt idx="9">
                  <c:v>7.51</c:v>
                </c:pt>
                <c:pt idx="10">
                  <c:v>7.5</c:v>
                </c:pt>
                <c:pt idx="11">
                  <c:v>7.49</c:v>
                </c:pt>
                <c:pt idx="12">
                  <c:v>7.48</c:v>
                </c:pt>
                <c:pt idx="13">
                  <c:v>7.47</c:v>
                </c:pt>
                <c:pt idx="14">
                  <c:v>7.46</c:v>
                </c:pt>
                <c:pt idx="15">
                  <c:v>7.45</c:v>
                </c:pt>
                <c:pt idx="16">
                  <c:v>7.44</c:v>
                </c:pt>
                <c:pt idx="17">
                  <c:v>7.43</c:v>
                </c:pt>
                <c:pt idx="18">
                  <c:v>7.42</c:v>
                </c:pt>
                <c:pt idx="19">
                  <c:v>7.41</c:v>
                </c:pt>
                <c:pt idx="20">
                  <c:v>7.4</c:v>
                </c:pt>
                <c:pt idx="21">
                  <c:v>7.39</c:v>
                </c:pt>
                <c:pt idx="22">
                  <c:v>7.38</c:v>
                </c:pt>
                <c:pt idx="23">
                  <c:v>7.37</c:v>
                </c:pt>
                <c:pt idx="24">
                  <c:v>7.36</c:v>
                </c:pt>
                <c:pt idx="25">
                  <c:v>7.35</c:v>
                </c:pt>
                <c:pt idx="26">
                  <c:v>7.3400000000000096</c:v>
                </c:pt>
                <c:pt idx="27">
                  <c:v>7.3300000000000098</c:v>
                </c:pt>
                <c:pt idx="28">
                  <c:v>7.3200000000000101</c:v>
                </c:pt>
                <c:pt idx="29">
                  <c:v>7.3100000000000103</c:v>
                </c:pt>
                <c:pt idx="30">
                  <c:v>7.3000000000000096</c:v>
                </c:pt>
                <c:pt idx="31">
                  <c:v>7.2900000000000098</c:v>
                </c:pt>
                <c:pt idx="32">
                  <c:v>7.28000000000001</c:v>
                </c:pt>
                <c:pt idx="33">
                  <c:v>7.2700000000000102</c:v>
                </c:pt>
                <c:pt idx="34">
                  <c:v>7.2600000000000096</c:v>
                </c:pt>
                <c:pt idx="35">
                  <c:v>7.2500000000000098</c:v>
                </c:pt>
                <c:pt idx="36">
                  <c:v>7.24000000000001</c:v>
                </c:pt>
                <c:pt idx="37">
                  <c:v>7.2300000000000102</c:v>
                </c:pt>
                <c:pt idx="38">
                  <c:v>7.2200000000000104</c:v>
                </c:pt>
                <c:pt idx="39">
                  <c:v>7.2100000000000097</c:v>
                </c:pt>
                <c:pt idx="40">
                  <c:v>7.2000000000000099</c:v>
                </c:pt>
                <c:pt idx="41">
                  <c:v>7.1900000000000102</c:v>
                </c:pt>
                <c:pt idx="42">
                  <c:v>7.1800000000000104</c:v>
                </c:pt>
                <c:pt idx="43">
                  <c:v>7.1700000000000097</c:v>
                </c:pt>
                <c:pt idx="44">
                  <c:v>7.1600000000000099</c:v>
                </c:pt>
                <c:pt idx="45">
                  <c:v>7.1500000000000101</c:v>
                </c:pt>
                <c:pt idx="46">
                  <c:v>7.1400000000000103</c:v>
                </c:pt>
                <c:pt idx="47">
                  <c:v>7.1300000000000097</c:v>
                </c:pt>
                <c:pt idx="48">
                  <c:v>7.1200000000000099</c:v>
                </c:pt>
                <c:pt idx="49">
                  <c:v>7.1100000000000101</c:v>
                </c:pt>
                <c:pt idx="50">
                  <c:v>7.1000000000000103</c:v>
                </c:pt>
              </c:numCache>
            </c:numRef>
          </c:cat>
          <c:val>
            <c:numRef>
              <c:f>Sheet1!$AE$3:$AE$53</c:f>
              <c:numCache>
                <c:formatCode>[$¥-804]#,##0.00;[Red][$¥-804]\-#,##0.00</c:formatCode>
                <c:ptCount val="51"/>
                <c:pt idx="0">
                  <c:v>9.822542779147625E-11</c:v>
                </c:pt>
                <c:pt idx="1">
                  <c:v>0</c:v>
                </c:pt>
                <c:pt idx="2">
                  <c:v>2.0008883439004421E-11</c:v>
                </c:pt>
                <c:pt idx="3">
                  <c:v>3.8198777474462986E-11</c:v>
                </c:pt>
                <c:pt idx="4">
                  <c:v>5.4569682106375694E-11</c:v>
                </c:pt>
                <c:pt idx="5">
                  <c:v>-4.3655745685100555E-11</c:v>
                </c:pt>
                <c:pt idx="6">
                  <c:v>9.0949470177292824E-11</c:v>
                </c:pt>
                <c:pt idx="7">
                  <c:v>0</c:v>
                </c:pt>
                <c:pt idx="8">
                  <c:v>9.0949470177292824E-12</c:v>
                </c:pt>
                <c:pt idx="9">
                  <c:v>2.6375346351414919E-11</c:v>
                </c:pt>
                <c:pt idx="10">
                  <c:v>7.4578565545380116E-11</c:v>
                </c:pt>
                <c:pt idx="11">
                  <c:v>-8.276401786133647E-11</c:v>
                </c:pt>
                <c:pt idx="12">
                  <c:v>1.1186784831807017E-10</c:v>
                </c:pt>
                <c:pt idx="13">
                  <c:v>-1.9099388737231493E-11</c:v>
                </c:pt>
                <c:pt idx="14">
                  <c:v>0</c:v>
                </c:pt>
                <c:pt idx="15">
                  <c:v>1.7280399333685637E-11</c:v>
                </c:pt>
                <c:pt idx="16">
                  <c:v>6.5483618527650833E-11</c:v>
                </c:pt>
                <c:pt idx="17">
                  <c:v>1.0913936421275139E-10</c:v>
                </c:pt>
                <c:pt idx="18">
                  <c:v>1.5825207810848951E-10</c:v>
                </c:pt>
                <c:pt idx="19">
                  <c:v>0</c:v>
                </c:pt>
                <c:pt idx="20">
                  <c:v>2.2373569663614035E-10</c:v>
                </c:pt>
                <c:pt idx="21">
                  <c:v>3.4560798667371273E-11</c:v>
                </c:pt>
                <c:pt idx="22">
                  <c:v>1.4142642612569034E-10</c:v>
                </c:pt>
                <c:pt idx="23">
                  <c:v>1.8781065591610968E-10</c:v>
                </c:pt>
                <c:pt idx="24">
                  <c:v>-5.4569682106375694E-11</c:v>
                </c:pt>
                <c:pt idx="25">
                  <c:v>-4.0017766878008842E-11</c:v>
                </c:pt>
                <c:pt idx="26">
                  <c:v>-5.184119800105691E-11</c:v>
                </c:pt>
                <c:pt idx="27">
                  <c:v>-3.4560798667371273E-11</c:v>
                </c:pt>
                <c:pt idx="28">
                  <c:v>-7.3214323492720723E-11</c:v>
                </c:pt>
                <c:pt idx="29">
                  <c:v>-2.7057467377744615E-11</c:v>
                </c:pt>
                <c:pt idx="30">
                  <c:v>-6.8212102632969618E-11</c:v>
                </c:pt>
                <c:pt idx="31">
                  <c:v>-1.0936673788819462E-10</c:v>
                </c:pt>
                <c:pt idx="32">
                  <c:v>-6.0822458181064576E-11</c:v>
                </c:pt>
                <c:pt idx="33">
                  <c:v>-1.4665602066088468E-11</c:v>
                </c:pt>
                <c:pt idx="34">
                  <c:v>-5.5763393902452663E-11</c:v>
                </c:pt>
                <c:pt idx="35">
                  <c:v>-3.8710368244210258E-11</c:v>
                </c:pt>
                <c:pt idx="36">
                  <c:v>-414.03542748217762</c:v>
                </c:pt>
                <c:pt idx="37">
                  <c:v>-413.46355534470274</c:v>
                </c:pt>
                <c:pt idx="38">
                  <c:v>-412.89168320734177</c:v>
                </c:pt>
                <c:pt idx="39">
                  <c:v>-412.31981106998319</c:v>
                </c:pt>
                <c:pt idx="40">
                  <c:v>-411.7479389325083</c:v>
                </c:pt>
                <c:pt idx="41">
                  <c:v>-411.17606679514734</c:v>
                </c:pt>
                <c:pt idx="42">
                  <c:v>-410.60419465773066</c:v>
                </c:pt>
                <c:pt idx="43">
                  <c:v>-410.03232252034331</c:v>
                </c:pt>
                <c:pt idx="44">
                  <c:v>-409.46045038289731</c:v>
                </c:pt>
                <c:pt idx="45">
                  <c:v>-408.88857824553634</c:v>
                </c:pt>
                <c:pt idx="46">
                  <c:v>-408.31670610809078</c:v>
                </c:pt>
                <c:pt idx="47">
                  <c:v>-407.74483397070298</c:v>
                </c:pt>
                <c:pt idx="48">
                  <c:v>-407.17296183328654</c:v>
                </c:pt>
                <c:pt idx="49">
                  <c:v>-406.60108969589601</c:v>
                </c:pt>
                <c:pt idx="50">
                  <c:v>-406.02921755845091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CC-954B-A047-E9155A43B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182800"/>
        <c:axId val="2087746607"/>
      </c:lineChart>
      <c:catAx>
        <c:axId val="31182800"/>
        <c:scaling>
          <c:orientation val="maxMin"/>
        </c:scaling>
        <c:delete val="0"/>
        <c:axPos val="b"/>
        <c:numFmt formatCode="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alpha val="30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0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087746607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208774660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[$¥-804]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1182800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000" b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Sheet1!$T$2</c:f>
              <c:strCache>
                <c:ptCount val="1"/>
                <c:pt idx="0">
                  <c:v>对冲比例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Sheet1!$N$3:$N$38</c:f>
              <c:numCache>
                <c:formatCode>0.0000</c:formatCode>
                <c:ptCount val="36"/>
                <c:pt idx="0">
                  <c:v>7.6</c:v>
                </c:pt>
                <c:pt idx="1">
                  <c:v>7.59</c:v>
                </c:pt>
                <c:pt idx="2">
                  <c:v>7.58</c:v>
                </c:pt>
                <c:pt idx="3">
                  <c:v>7.57</c:v>
                </c:pt>
                <c:pt idx="4">
                  <c:v>7.56</c:v>
                </c:pt>
                <c:pt idx="5">
                  <c:v>7.55</c:v>
                </c:pt>
                <c:pt idx="6">
                  <c:v>7.54</c:v>
                </c:pt>
                <c:pt idx="7">
                  <c:v>7.53</c:v>
                </c:pt>
                <c:pt idx="8">
                  <c:v>7.52</c:v>
                </c:pt>
                <c:pt idx="9">
                  <c:v>7.51</c:v>
                </c:pt>
                <c:pt idx="10">
                  <c:v>7.5</c:v>
                </c:pt>
                <c:pt idx="11">
                  <c:v>7.49</c:v>
                </c:pt>
                <c:pt idx="12">
                  <c:v>7.48</c:v>
                </c:pt>
                <c:pt idx="13">
                  <c:v>7.47</c:v>
                </c:pt>
                <c:pt idx="14">
                  <c:v>7.46</c:v>
                </c:pt>
                <c:pt idx="15">
                  <c:v>7.45</c:v>
                </c:pt>
                <c:pt idx="16">
                  <c:v>7.44</c:v>
                </c:pt>
                <c:pt idx="17">
                  <c:v>7.43</c:v>
                </c:pt>
                <c:pt idx="18">
                  <c:v>7.42</c:v>
                </c:pt>
                <c:pt idx="19">
                  <c:v>7.41</c:v>
                </c:pt>
                <c:pt idx="20">
                  <c:v>7.4</c:v>
                </c:pt>
                <c:pt idx="21">
                  <c:v>7.39</c:v>
                </c:pt>
                <c:pt idx="22">
                  <c:v>7.38</c:v>
                </c:pt>
                <c:pt idx="23">
                  <c:v>7.37</c:v>
                </c:pt>
                <c:pt idx="24">
                  <c:v>7.36</c:v>
                </c:pt>
                <c:pt idx="25">
                  <c:v>7.35</c:v>
                </c:pt>
                <c:pt idx="26">
                  <c:v>7.3400000000000096</c:v>
                </c:pt>
                <c:pt idx="27">
                  <c:v>7.3300000000000098</c:v>
                </c:pt>
                <c:pt idx="28">
                  <c:v>7.3200000000000101</c:v>
                </c:pt>
                <c:pt idx="29">
                  <c:v>7.3100000000000103</c:v>
                </c:pt>
                <c:pt idx="30">
                  <c:v>7.3000000000000096</c:v>
                </c:pt>
                <c:pt idx="31">
                  <c:v>7.2900000000000098</c:v>
                </c:pt>
                <c:pt idx="32">
                  <c:v>7.28000000000001</c:v>
                </c:pt>
                <c:pt idx="33">
                  <c:v>7.2700000000000102</c:v>
                </c:pt>
                <c:pt idx="34">
                  <c:v>7.2600000000000096</c:v>
                </c:pt>
                <c:pt idx="35">
                  <c:v>7.2500000000000098</c:v>
                </c:pt>
              </c:numCache>
            </c:numRef>
          </c:cat>
          <c:val>
            <c:numRef>
              <c:f>Sheet1!$T$3:$T$38</c:f>
              <c:numCache>
                <c:formatCode>0.00%</c:formatCode>
                <c:ptCount val="36"/>
                <c:pt idx="0">
                  <c:v>1.0400311476974404</c:v>
                </c:pt>
                <c:pt idx="1">
                  <c:v>1.0411187353521076</c:v>
                </c:pt>
                <c:pt idx="2">
                  <c:v>1.0422701844864264</c:v>
                </c:pt>
                <c:pt idx="3">
                  <c:v>1.0434912900066418</c:v>
                </c:pt>
                <c:pt idx="4">
                  <c:v>1.0447885698078627</c:v>
                </c:pt>
                <c:pt idx="5">
                  <c:v>1.0461693811566704</c:v>
                </c:pt>
                <c:pt idx="6">
                  <c:v>1.047642060303398</c:v>
                </c:pt>
                <c:pt idx="7">
                  <c:v>1.0492160909188923</c:v>
                </c:pt>
                <c:pt idx="8">
                  <c:v>1.0509023085470643</c:v>
                </c:pt>
                <c:pt idx="9">
                  <c:v>1.0527131503887337</c:v>
                </c:pt>
                <c:pt idx="10">
                  <c:v>1.0546629625937394</c:v>
                </c:pt>
                <c:pt idx="11">
                  <c:v>1.0567683811238082</c:v>
                </c:pt>
                <c:pt idx="12">
                  <c:v>1.0590488075907554</c:v>
                </c:pt>
                <c:pt idx="13">
                  <c:v>1.061527008898391</c:v>
                </c:pt>
                <c:pt idx="14">
                  <c:v>1.0642298799729086</c:v>
                </c:pt>
                <c:pt idx="15">
                  <c:v>1.0671894237859516</c:v>
                </c:pt>
                <c:pt idx="16">
                  <c:v>1.0704440244936617</c:v>
                </c:pt>
                <c:pt idx="17">
                  <c:v>1.0740401213360837</c:v>
                </c:pt>
                <c:pt idx="18">
                  <c:v>1.0780344386238503</c:v>
                </c:pt>
                <c:pt idx="19">
                  <c:v>1.0824969999723013</c:v>
                </c:pt>
                <c:pt idx="20">
                  <c:v>1.087515268592435</c:v>
                </c:pt>
                <c:pt idx="21">
                  <c:v>1.0931999370077239</c:v>
                </c:pt>
                <c:pt idx="22">
                  <c:v>1.099693187344182</c:v>
                </c:pt>
                <c:pt idx="23">
                  <c:v>1.1071807463027146</c:v>
                </c:pt>
                <c:pt idx="24">
                  <c:v>1.1159099372163008</c:v>
                </c:pt>
                <c:pt idx="25">
                  <c:v>1.1262175245269488</c:v>
                </c:pt>
                <c:pt idx="26">
                  <c:v>1.1385741639283176</c:v>
                </c:pt>
                <c:pt idx="27">
                  <c:v>1.1536582869771204</c:v>
                </c:pt>
                <c:pt idx="28">
                  <c:v>1.1724849809597586</c:v>
                </c:pt>
                <c:pt idx="29">
                  <c:v>1.1966443854401458</c:v>
                </c:pt>
                <c:pt idx="30">
                  <c:v>1.2287760924827453</c:v>
                </c:pt>
                <c:pt idx="31">
                  <c:v>1.2736059839902614</c:v>
                </c:pt>
                <c:pt idx="32">
                  <c:v>1.3405150259680683</c:v>
                </c:pt>
                <c:pt idx="33">
                  <c:v>1.4511435405227038</c:v>
                </c:pt>
                <c:pt idx="34">
                  <c:v>1.6691348708701061</c:v>
                </c:pt>
                <c:pt idx="35">
                  <c:v>2.2981069238189016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13-284B-82CD-5322497A98CF}"/>
            </c:ext>
          </c:extLst>
        </c:ser>
        <c:ser>
          <c:idx val="1"/>
          <c:order val="1"/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Sheet1!$N$3:$N$38</c:f>
              <c:numCache>
                <c:formatCode>0.0000</c:formatCode>
                <c:ptCount val="36"/>
                <c:pt idx="0">
                  <c:v>7.6</c:v>
                </c:pt>
                <c:pt idx="1">
                  <c:v>7.59</c:v>
                </c:pt>
                <c:pt idx="2">
                  <c:v>7.58</c:v>
                </c:pt>
                <c:pt idx="3">
                  <c:v>7.57</c:v>
                </c:pt>
                <c:pt idx="4">
                  <c:v>7.56</c:v>
                </c:pt>
                <c:pt idx="5">
                  <c:v>7.55</c:v>
                </c:pt>
                <c:pt idx="6">
                  <c:v>7.54</c:v>
                </c:pt>
                <c:pt idx="7">
                  <c:v>7.53</c:v>
                </c:pt>
                <c:pt idx="8">
                  <c:v>7.52</c:v>
                </c:pt>
                <c:pt idx="9">
                  <c:v>7.51</c:v>
                </c:pt>
                <c:pt idx="10">
                  <c:v>7.5</c:v>
                </c:pt>
                <c:pt idx="11">
                  <c:v>7.49</c:v>
                </c:pt>
                <c:pt idx="12">
                  <c:v>7.48</c:v>
                </c:pt>
                <c:pt idx="13">
                  <c:v>7.47</c:v>
                </c:pt>
                <c:pt idx="14">
                  <c:v>7.46</c:v>
                </c:pt>
                <c:pt idx="15">
                  <c:v>7.45</c:v>
                </c:pt>
                <c:pt idx="16">
                  <c:v>7.44</c:v>
                </c:pt>
                <c:pt idx="17">
                  <c:v>7.43</c:v>
                </c:pt>
                <c:pt idx="18">
                  <c:v>7.42</c:v>
                </c:pt>
                <c:pt idx="19">
                  <c:v>7.41</c:v>
                </c:pt>
                <c:pt idx="20">
                  <c:v>7.4</c:v>
                </c:pt>
                <c:pt idx="21">
                  <c:v>7.39</c:v>
                </c:pt>
                <c:pt idx="22">
                  <c:v>7.38</c:v>
                </c:pt>
                <c:pt idx="23">
                  <c:v>7.37</c:v>
                </c:pt>
                <c:pt idx="24">
                  <c:v>7.36</c:v>
                </c:pt>
                <c:pt idx="25">
                  <c:v>7.35</c:v>
                </c:pt>
                <c:pt idx="26">
                  <c:v>7.3400000000000096</c:v>
                </c:pt>
                <c:pt idx="27">
                  <c:v>7.3300000000000098</c:v>
                </c:pt>
                <c:pt idx="28">
                  <c:v>7.3200000000000101</c:v>
                </c:pt>
                <c:pt idx="29">
                  <c:v>7.3100000000000103</c:v>
                </c:pt>
                <c:pt idx="30">
                  <c:v>7.3000000000000096</c:v>
                </c:pt>
                <c:pt idx="31">
                  <c:v>7.2900000000000098</c:v>
                </c:pt>
                <c:pt idx="32">
                  <c:v>7.28000000000001</c:v>
                </c:pt>
                <c:pt idx="33">
                  <c:v>7.2700000000000102</c:v>
                </c:pt>
                <c:pt idx="34">
                  <c:v>7.2600000000000096</c:v>
                </c:pt>
                <c:pt idx="35">
                  <c:v>7.2500000000000098</c:v>
                </c:pt>
              </c:numCache>
            </c:numRef>
          </c:cat>
          <c:val>
            <c:numRef>
              <c:f>Sheet1!$AF$3:$AF$37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F13-284B-82CD-5322497A9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182800"/>
        <c:axId val="2087746607"/>
      </c:lineChart>
      <c:catAx>
        <c:axId val="31182800"/>
        <c:scaling>
          <c:orientation val="minMax"/>
        </c:scaling>
        <c:delete val="0"/>
        <c:axPos val="b"/>
        <c:numFmt formatCode="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alpha val="30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087746607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2087746607"/>
        <c:scaling>
          <c:orientation val="minMax"/>
        </c:scaling>
        <c:delete val="0"/>
        <c:axPos val="r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1182800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000" b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819150</xdr:colOff>
      <xdr:row>6</xdr:row>
      <xdr:rowOff>152400</xdr:rowOff>
    </xdr:from>
    <xdr:to>
      <xdr:col>51</xdr:col>
      <xdr:colOff>558800</xdr:colOff>
      <xdr:row>49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99FEE05-5E32-3D42-EFAB-F2DF8BE9FF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60</xdr:row>
      <xdr:rowOff>0</xdr:rowOff>
    </xdr:from>
    <xdr:to>
      <xdr:col>37</xdr:col>
      <xdr:colOff>216829</xdr:colOff>
      <xdr:row>102</xdr:row>
      <xdr:rowOff>167269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7E358F4-7EEA-2F40-80F5-FC7DCA9709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stock.finance.sina.com.cn/forex/globalbd/gcny3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BB9F8-AD65-6E49-BAFB-A73335ED3DD0}">
  <sheetPr codeName="Sheet1"/>
  <dimension ref="A1:AF53"/>
  <sheetViews>
    <sheetView showGridLines="0" tabSelected="1" zoomScale="125" zoomScaleNormal="125" workbookViewId="0">
      <selection activeCell="F23" sqref="F23"/>
    </sheetView>
  </sheetViews>
  <sheetFormatPr baseColWidth="10" defaultRowHeight="16" x14ac:dyDescent="0.2"/>
  <cols>
    <col min="1" max="1" width="10.83203125" style="1"/>
    <col min="2" max="2" width="34.83203125" style="1" bestFit="1" customWidth="1"/>
    <col min="3" max="3" width="12.6640625" style="1" customWidth="1"/>
    <col min="4" max="4" width="12.83203125" style="1" bestFit="1" customWidth="1"/>
    <col min="5" max="5" width="12.6640625" style="1" customWidth="1"/>
    <col min="6" max="6" width="12.83203125" style="1" bestFit="1" customWidth="1"/>
    <col min="7" max="8" width="10.83203125" style="1"/>
    <col min="9" max="13" width="12.5" style="1" customWidth="1"/>
    <col min="14" max="14" width="12.5" style="6" customWidth="1"/>
    <col min="15" max="31" width="12.5" style="1" customWidth="1"/>
    <col min="32" max="16384" width="10.83203125" style="1"/>
  </cols>
  <sheetData>
    <row r="1" spans="1:32" ht="17" thickBot="1" x14ac:dyDescent="0.25"/>
    <row r="2" spans="1:32" ht="85" x14ac:dyDescent="0.2">
      <c r="H2" s="49"/>
      <c r="I2" s="51" t="s">
        <v>1</v>
      </c>
      <c r="J2" s="51" t="s">
        <v>17</v>
      </c>
      <c r="K2" s="51" t="s">
        <v>18</v>
      </c>
      <c r="L2" s="52" t="s">
        <v>2</v>
      </c>
      <c r="M2" s="52" t="s">
        <v>4</v>
      </c>
      <c r="N2" s="53" t="s">
        <v>0</v>
      </c>
      <c r="O2" s="51" t="s">
        <v>36</v>
      </c>
      <c r="P2" s="51" t="s">
        <v>6</v>
      </c>
      <c r="Q2" s="51" t="s">
        <v>35</v>
      </c>
      <c r="R2" s="51" t="s">
        <v>22</v>
      </c>
      <c r="S2" s="51" t="s">
        <v>41</v>
      </c>
      <c r="T2" s="54" t="s">
        <v>42</v>
      </c>
      <c r="U2" s="52" t="s">
        <v>3</v>
      </c>
      <c r="V2" s="52" t="s">
        <v>14</v>
      </c>
      <c r="W2" s="52" t="s">
        <v>5</v>
      </c>
      <c r="X2" s="52" t="s">
        <v>7</v>
      </c>
      <c r="Y2" s="52" t="s">
        <v>8</v>
      </c>
      <c r="Z2" s="52" t="s">
        <v>9</v>
      </c>
      <c r="AA2" s="52" t="s">
        <v>10</v>
      </c>
      <c r="AB2" s="54" t="s">
        <v>11</v>
      </c>
      <c r="AC2" s="54" t="s">
        <v>12</v>
      </c>
      <c r="AD2" s="55" t="s">
        <v>44</v>
      </c>
      <c r="AE2" s="55" t="s">
        <v>43</v>
      </c>
      <c r="AF2" s="38"/>
    </row>
    <row r="3" spans="1:32" ht="17" thickBot="1" x14ac:dyDescent="0.25">
      <c r="B3" s="42" t="s">
        <v>34</v>
      </c>
      <c r="C3" s="85">
        <v>45620</v>
      </c>
      <c r="I3" s="56">
        <f>$C$4</f>
        <v>7.2489999999999997</v>
      </c>
      <c r="J3" s="57">
        <f>$C$5</f>
        <v>7.2653999999999996</v>
      </c>
      <c r="K3" s="56">
        <f>$C$6</f>
        <v>7.2350000000000003</v>
      </c>
      <c r="L3" s="58">
        <f>(J3+K3)/2</f>
        <v>7.2501999999999995</v>
      </c>
      <c r="M3" s="59">
        <f>(J3/L3)-1</f>
        <v>2.0964938898238028E-3</v>
      </c>
      <c r="N3" s="60">
        <v>7.6</v>
      </c>
      <c r="O3" s="61">
        <f>$C$10</f>
        <v>2.3E-2</v>
      </c>
      <c r="P3" s="57">
        <v>3</v>
      </c>
      <c r="Q3" s="62">
        <f>$C$12</f>
        <v>1.3726E-2</v>
      </c>
      <c r="R3" s="63">
        <f>$D$15</f>
        <v>30000</v>
      </c>
      <c r="S3" s="63">
        <v>31200.934430923211</v>
      </c>
      <c r="T3" s="104">
        <f>S3/R3</f>
        <v>1.0400311476974404</v>
      </c>
      <c r="U3" s="64">
        <f>S3*J3*(-1)</f>
        <v>-226687.26901442948</v>
      </c>
      <c r="V3" s="65">
        <f>S3</f>
        <v>31200.934430923211</v>
      </c>
      <c r="W3" s="65">
        <f>(V3)*((1+O3)^(P3/12)-1)</f>
        <v>177.8784394865053</v>
      </c>
      <c r="X3" s="65">
        <f>V3+W3</f>
        <v>31378.812870409718</v>
      </c>
      <c r="Y3" s="64">
        <f>X3*(N3*(1-M3))</f>
        <v>237979.00809527305</v>
      </c>
      <c r="Z3" s="64">
        <f>N3*R3*(-1)/((1+Q3)^(P3/12))</f>
        <v>-227224.26152603634</v>
      </c>
      <c r="AA3" s="64">
        <f>Y3+U3+N3*R3*(-1)</f>
        <v>-216708.26091915643</v>
      </c>
      <c r="AB3" s="66">
        <f>(N3-L3)/L3</f>
        <v>4.8246944911864521E-2</v>
      </c>
      <c r="AC3" s="66">
        <f>(AA3-Z3)/Z3</f>
        <v>-4.6280271905185369E-2</v>
      </c>
      <c r="AD3" s="67">
        <f>R3*(L3*(1+M3)-N3*(1+M3))</f>
        <v>-10516.000606879814</v>
      </c>
      <c r="AE3" s="67">
        <f>AD3+(AA3-Z3)</f>
        <v>9.822542779147625E-11</v>
      </c>
      <c r="AF3" s="1">
        <v>1</v>
      </c>
    </row>
    <row r="4" spans="1:32" x14ac:dyDescent="0.2">
      <c r="B4" s="17" t="s">
        <v>1</v>
      </c>
      <c r="C4" s="12">
        <v>7.2489999999999997</v>
      </c>
      <c r="D4" s="81" t="s">
        <v>39</v>
      </c>
      <c r="I4" s="56">
        <f t="shared" ref="I4:I53" si="0">$C$4</f>
        <v>7.2489999999999997</v>
      </c>
      <c r="J4" s="57">
        <f t="shared" ref="J4:J53" si="1">$C$5</f>
        <v>7.2653999999999996</v>
      </c>
      <c r="K4" s="56">
        <f t="shared" ref="K4:K53" si="2">$C$6</f>
        <v>7.2350000000000003</v>
      </c>
      <c r="L4" s="58">
        <f t="shared" ref="L4:L53" si="3">(J4+K4)/2</f>
        <v>7.2501999999999995</v>
      </c>
      <c r="M4" s="59">
        <f t="shared" ref="M4:M53" si="4">(J4/L4)-1</f>
        <v>2.0964938898238028E-3</v>
      </c>
      <c r="N4" s="69">
        <v>7.59</v>
      </c>
      <c r="O4" s="61">
        <f t="shared" ref="O4:O52" si="5">$C$10</f>
        <v>2.3E-2</v>
      </c>
      <c r="P4" s="68">
        <v>3</v>
      </c>
      <c r="Q4" s="62">
        <f t="shared" ref="Q4:Q53" si="6">$C$12</f>
        <v>1.3726E-2</v>
      </c>
      <c r="R4" s="63">
        <f t="shared" ref="R4:R53" si="7">$D$15</f>
        <v>30000</v>
      </c>
      <c r="S4" s="63">
        <v>31233.562060563232</v>
      </c>
      <c r="T4" s="104">
        <f t="shared" ref="T4:T52" si="8">S4/R4</f>
        <v>1.0411187353521076</v>
      </c>
      <c r="U4" s="64">
        <f t="shared" ref="U4:U53" si="9">S4*J4*(-1)</f>
        <v>-226924.32179481609</v>
      </c>
      <c r="V4" s="65">
        <f t="shared" ref="V4:V53" si="10">S4</f>
        <v>31233.562060563232</v>
      </c>
      <c r="W4" s="71">
        <f t="shared" ref="W4:W53" si="11">(V4)*((1+O4)^(P4/12)-1)</f>
        <v>178.06445160282058</v>
      </c>
      <c r="X4" s="71">
        <f t="shared" ref="X4:X53" si="12">V4+W4</f>
        <v>31411.626512166054</v>
      </c>
      <c r="Y4" s="70">
        <f>X4*(N4*(1-M4))</f>
        <v>237914.41121897427</v>
      </c>
      <c r="Z4" s="70">
        <f t="shared" ref="Z4:Z53" si="13">N4*R4*(-1)/((1+Q4)^(P4/12))</f>
        <v>-226925.2822345547</v>
      </c>
      <c r="AA4" s="70">
        <f>Y4+U4+N4*R4*(-1)</f>
        <v>-216709.91057584182</v>
      </c>
      <c r="AB4" s="72">
        <f t="shared" ref="AB4:AB53" si="14">(N4-L4)/L4</f>
        <v>4.6867672615927884E-2</v>
      </c>
      <c r="AC4" s="72">
        <f t="shared" ref="AC4:AC53" si="15">(AA4-Z4)/Z4</f>
        <v>-4.5016454570954621E-2</v>
      </c>
      <c r="AD4" s="67">
        <f t="shared" ref="AD4:AD53" si="16">R4*(L4*(1+M4)-N4*(1+M4))</f>
        <v>-10215.371658712886</v>
      </c>
      <c r="AE4" s="73">
        <f t="shared" ref="AE4:AE53" si="17">AD4+(AA4-Z4)</f>
        <v>0</v>
      </c>
      <c r="AF4" s="1">
        <v>1</v>
      </c>
    </row>
    <row r="5" spans="1:32" x14ac:dyDescent="0.2">
      <c r="B5" s="18" t="s">
        <v>19</v>
      </c>
      <c r="C5" s="7">
        <v>7.2653999999999996</v>
      </c>
      <c r="D5" s="82" t="s">
        <v>37</v>
      </c>
      <c r="I5" s="56">
        <f t="shared" si="0"/>
        <v>7.2489999999999997</v>
      </c>
      <c r="J5" s="57">
        <f t="shared" si="1"/>
        <v>7.2653999999999996</v>
      </c>
      <c r="K5" s="56">
        <f t="shared" si="2"/>
        <v>7.2350000000000003</v>
      </c>
      <c r="L5" s="58">
        <f t="shared" si="3"/>
        <v>7.2501999999999995</v>
      </c>
      <c r="M5" s="59">
        <f t="shared" si="4"/>
        <v>2.0964938898238028E-3</v>
      </c>
      <c r="N5" s="69">
        <v>7.58</v>
      </c>
      <c r="O5" s="61">
        <f t="shared" si="5"/>
        <v>2.3E-2</v>
      </c>
      <c r="P5" s="68">
        <v>3</v>
      </c>
      <c r="Q5" s="62">
        <f t="shared" si="6"/>
        <v>1.3726E-2</v>
      </c>
      <c r="R5" s="63">
        <f t="shared" si="7"/>
        <v>30000</v>
      </c>
      <c r="S5" s="63">
        <v>31268.105534592793</v>
      </c>
      <c r="T5" s="104">
        <f t="shared" si="8"/>
        <v>1.0422701844864264</v>
      </c>
      <c r="U5" s="64">
        <f t="shared" si="9"/>
        <v>-227175.29395103047</v>
      </c>
      <c r="V5" s="65">
        <f t="shared" si="10"/>
        <v>31268.105534592793</v>
      </c>
      <c r="W5" s="71">
        <f t="shared" si="11"/>
        <v>178.26138606542216</v>
      </c>
      <c r="X5" s="71">
        <f t="shared" si="12"/>
        <v>31446.366920658216</v>
      </c>
      <c r="Y5" s="70">
        <f>X5*(N5*(1-M5))</f>
        <v>237863.73371850338</v>
      </c>
      <c r="Z5" s="70">
        <f t="shared" si="13"/>
        <v>-226626.30294307307</v>
      </c>
      <c r="AA5" s="70">
        <f>Y5+U5+N5*R5*(-1)</f>
        <v>-216711.56023252709</v>
      </c>
      <c r="AB5" s="72">
        <f t="shared" si="14"/>
        <v>4.5488400319991247E-2</v>
      </c>
      <c r="AC5" s="72">
        <f t="shared" si="15"/>
        <v>-4.3749302626343828E-2</v>
      </c>
      <c r="AD5" s="67">
        <f t="shared" si="16"/>
        <v>-9914.7427105459592</v>
      </c>
      <c r="AE5" s="73">
        <f t="shared" si="17"/>
        <v>2.0008883439004421E-11</v>
      </c>
      <c r="AF5" s="1">
        <v>1</v>
      </c>
    </row>
    <row r="6" spans="1:32" x14ac:dyDescent="0.2">
      <c r="B6" s="18" t="s">
        <v>20</v>
      </c>
      <c r="C6" s="8">
        <v>7.2350000000000003</v>
      </c>
      <c r="D6" s="83" t="s">
        <v>38</v>
      </c>
      <c r="I6" s="56">
        <f t="shared" si="0"/>
        <v>7.2489999999999997</v>
      </c>
      <c r="J6" s="57">
        <f t="shared" si="1"/>
        <v>7.2653999999999996</v>
      </c>
      <c r="K6" s="56">
        <f t="shared" si="2"/>
        <v>7.2350000000000003</v>
      </c>
      <c r="L6" s="58">
        <f t="shared" si="3"/>
        <v>7.2501999999999995</v>
      </c>
      <c r="M6" s="59">
        <f t="shared" si="4"/>
        <v>2.0964938898238028E-3</v>
      </c>
      <c r="N6" s="69">
        <v>7.57</v>
      </c>
      <c r="O6" s="61">
        <f t="shared" si="5"/>
        <v>2.3E-2</v>
      </c>
      <c r="P6" s="68">
        <v>3</v>
      </c>
      <c r="Q6" s="62">
        <f t="shared" si="6"/>
        <v>1.3726E-2</v>
      </c>
      <c r="R6" s="63">
        <f t="shared" si="7"/>
        <v>30000</v>
      </c>
      <c r="S6" s="63">
        <v>31304.73870019925</v>
      </c>
      <c r="T6" s="104">
        <f t="shared" si="8"/>
        <v>1.0434912900066418</v>
      </c>
      <c r="U6" s="64">
        <f t="shared" si="9"/>
        <v>-227441.44855242761</v>
      </c>
      <c r="V6" s="65">
        <f t="shared" si="10"/>
        <v>31304.73870019925</v>
      </c>
      <c r="W6" s="71">
        <f t="shared" si="11"/>
        <v>178.47023398778018</v>
      </c>
      <c r="X6" s="71">
        <f t="shared" si="12"/>
        <v>31483.208934187031</v>
      </c>
      <c r="Y6" s="70">
        <f>X6*(N6*(1-M6))</f>
        <v>237828.23866321519</v>
      </c>
      <c r="Z6" s="70">
        <f t="shared" si="13"/>
        <v>-226327.32365159146</v>
      </c>
      <c r="AA6" s="70">
        <f>Y6+U6+N6*R6*(-1)</f>
        <v>-216713.20988921242</v>
      </c>
      <c r="AB6" s="72">
        <f t="shared" si="14"/>
        <v>4.4109128024054617E-2</v>
      </c>
      <c r="AC6" s="72">
        <f t="shared" si="15"/>
        <v>-4.2478802856251767E-2</v>
      </c>
      <c r="AD6" s="67">
        <f t="shared" si="16"/>
        <v>-9614.1137623790037</v>
      </c>
      <c r="AE6" s="73">
        <f t="shared" si="17"/>
        <v>3.8198777474462986E-11</v>
      </c>
      <c r="AF6" s="1">
        <v>1</v>
      </c>
    </row>
    <row r="7" spans="1:32" x14ac:dyDescent="0.2">
      <c r="B7" s="19" t="s">
        <v>2</v>
      </c>
      <c r="C7" s="10">
        <f>(C5+C6)/2</f>
        <v>7.2501999999999995</v>
      </c>
      <c r="I7" s="56">
        <f t="shared" si="0"/>
        <v>7.2489999999999997</v>
      </c>
      <c r="J7" s="57">
        <f t="shared" si="1"/>
        <v>7.2653999999999996</v>
      </c>
      <c r="K7" s="56">
        <f t="shared" si="2"/>
        <v>7.2350000000000003</v>
      </c>
      <c r="L7" s="58">
        <f t="shared" si="3"/>
        <v>7.2501999999999995</v>
      </c>
      <c r="M7" s="59">
        <f t="shared" si="4"/>
        <v>2.0964938898238028E-3</v>
      </c>
      <c r="N7" s="69">
        <v>7.56</v>
      </c>
      <c r="O7" s="61">
        <f t="shared" si="5"/>
        <v>2.3E-2</v>
      </c>
      <c r="P7" s="68">
        <v>3</v>
      </c>
      <c r="Q7" s="62">
        <f t="shared" si="6"/>
        <v>1.3726E-2</v>
      </c>
      <c r="R7" s="63">
        <f t="shared" si="7"/>
        <v>30000</v>
      </c>
      <c r="S7" s="63">
        <v>31343.657094235885</v>
      </c>
      <c r="T7" s="104">
        <f t="shared" si="8"/>
        <v>1.0447885698078627</v>
      </c>
      <c r="U7" s="64">
        <f t="shared" si="9"/>
        <v>-227724.20625246139</v>
      </c>
      <c r="V7" s="65">
        <f t="shared" si="10"/>
        <v>31343.657094235885</v>
      </c>
      <c r="W7" s="71">
        <f t="shared" si="11"/>
        <v>178.6921101374796</v>
      </c>
      <c r="X7" s="71">
        <f t="shared" si="12"/>
        <v>31522.349204373364</v>
      </c>
      <c r="Y7" s="70">
        <f>X7*(N7*(1-M7))</f>
        <v>237809.34670656367</v>
      </c>
      <c r="Z7" s="70">
        <f t="shared" si="13"/>
        <v>-226028.34436010983</v>
      </c>
      <c r="AA7" s="70">
        <f>Y7+U7+N7*R7*(-1)</f>
        <v>-216714.85954589772</v>
      </c>
      <c r="AB7" s="72">
        <f t="shared" si="14"/>
        <v>4.2729855728117855E-2</v>
      </c>
      <c r="AC7" s="72">
        <f t="shared" si="15"/>
        <v>-4.1204941975656821E-2</v>
      </c>
      <c r="AD7" s="67">
        <f t="shared" si="16"/>
        <v>-9313.48481421205</v>
      </c>
      <c r="AE7" s="73">
        <f t="shared" si="17"/>
        <v>5.4569682106375694E-11</v>
      </c>
      <c r="AF7" s="1">
        <v>1</v>
      </c>
    </row>
    <row r="8" spans="1:32" x14ac:dyDescent="0.2">
      <c r="B8" s="19" t="s">
        <v>4</v>
      </c>
      <c r="C8" s="9">
        <f>(C5/C7)-1</f>
        <v>2.0964938898238028E-3</v>
      </c>
      <c r="I8" s="56">
        <f t="shared" si="0"/>
        <v>7.2489999999999997</v>
      </c>
      <c r="J8" s="57">
        <f t="shared" si="1"/>
        <v>7.2653999999999996</v>
      </c>
      <c r="K8" s="56">
        <f t="shared" si="2"/>
        <v>7.2350000000000003</v>
      </c>
      <c r="L8" s="58">
        <f t="shared" si="3"/>
        <v>7.2501999999999995</v>
      </c>
      <c r="M8" s="59">
        <f t="shared" si="4"/>
        <v>2.0964938898238028E-3</v>
      </c>
      <c r="N8" s="69">
        <v>7.55</v>
      </c>
      <c r="O8" s="61">
        <f t="shared" si="5"/>
        <v>2.3E-2</v>
      </c>
      <c r="P8" s="68">
        <v>3</v>
      </c>
      <c r="Q8" s="62">
        <f t="shared" si="6"/>
        <v>1.3726E-2</v>
      </c>
      <c r="R8" s="63">
        <f t="shared" si="7"/>
        <v>30000</v>
      </c>
      <c r="S8" s="63">
        <v>31385.081434700111</v>
      </c>
      <c r="T8" s="104">
        <f t="shared" si="8"/>
        <v>1.0461693811566704</v>
      </c>
      <c r="U8" s="64">
        <f t="shared" si="9"/>
        <v>-228025.17065567017</v>
      </c>
      <c r="V8" s="65">
        <f t="shared" si="10"/>
        <v>31385.081434700111</v>
      </c>
      <c r="W8" s="71">
        <f t="shared" si="11"/>
        <v>178.92827284135143</v>
      </c>
      <c r="X8" s="71">
        <f t="shared" si="12"/>
        <v>31564.009707541463</v>
      </c>
      <c r="Y8" s="70">
        <f>X8*(N8*(1-M8))</f>
        <v>237808.66145308703</v>
      </c>
      <c r="Z8" s="70">
        <f t="shared" si="13"/>
        <v>-225729.36506862819</v>
      </c>
      <c r="AA8" s="70">
        <f>Y8+U8+N8*R8*(-1)</f>
        <v>-216716.50920258314</v>
      </c>
      <c r="AB8" s="72">
        <f t="shared" si="14"/>
        <v>4.1350583432181225E-2</v>
      </c>
      <c r="AC8" s="72">
        <f t="shared" si="15"/>
        <v>-3.9927706629152501E-2</v>
      </c>
      <c r="AD8" s="67">
        <f t="shared" si="16"/>
        <v>-9012.8558660450944</v>
      </c>
      <c r="AE8" s="73">
        <f t="shared" si="17"/>
        <v>-4.3655745685100555E-11</v>
      </c>
      <c r="AF8" s="1">
        <v>1</v>
      </c>
    </row>
    <row r="9" spans="1:32" x14ac:dyDescent="0.2">
      <c r="B9" s="20" t="s">
        <v>0</v>
      </c>
      <c r="C9" s="8">
        <v>7.5</v>
      </c>
      <c r="I9" s="56">
        <f t="shared" si="0"/>
        <v>7.2489999999999997</v>
      </c>
      <c r="J9" s="57">
        <f t="shared" si="1"/>
        <v>7.2653999999999996</v>
      </c>
      <c r="K9" s="56">
        <f t="shared" si="2"/>
        <v>7.2350000000000003</v>
      </c>
      <c r="L9" s="58">
        <f t="shared" si="3"/>
        <v>7.2501999999999995</v>
      </c>
      <c r="M9" s="59">
        <f t="shared" si="4"/>
        <v>2.0964938898238028E-3</v>
      </c>
      <c r="N9" s="69">
        <v>7.54</v>
      </c>
      <c r="O9" s="61">
        <f t="shared" si="5"/>
        <v>2.3E-2</v>
      </c>
      <c r="P9" s="68">
        <v>3</v>
      </c>
      <c r="Q9" s="62">
        <f t="shared" si="6"/>
        <v>1.3726E-2</v>
      </c>
      <c r="R9" s="63">
        <f t="shared" si="7"/>
        <v>30000</v>
      </c>
      <c r="S9" s="63">
        <v>31429.261809101943</v>
      </c>
      <c r="T9" s="104">
        <f t="shared" si="8"/>
        <v>1.047642060303398</v>
      </c>
      <c r="U9" s="64">
        <f t="shared" si="9"/>
        <v>-228346.15874784926</v>
      </c>
      <c r="V9" s="65">
        <f t="shared" si="10"/>
        <v>31429.261809101943</v>
      </c>
      <c r="W9" s="71">
        <f t="shared" si="11"/>
        <v>179.18014786361803</v>
      </c>
      <c r="X9" s="71">
        <f t="shared" si="12"/>
        <v>31608.441956965562</v>
      </c>
      <c r="Y9" s="70">
        <f>X9*(N9*(1-M9))</f>
        <v>237827.99988858093</v>
      </c>
      <c r="Z9" s="70">
        <f t="shared" si="13"/>
        <v>-225430.38577714658</v>
      </c>
      <c r="AA9" s="70">
        <f>Y9+U9+N9*R9*(-1)</f>
        <v>-216718.15885926833</v>
      </c>
      <c r="AB9" s="72">
        <f t="shared" si="14"/>
        <v>3.9971311136244587E-2</v>
      </c>
      <c r="AC9" s="72">
        <f t="shared" si="15"/>
        <v>-3.864708339048354E-2</v>
      </c>
      <c r="AD9" s="67">
        <f t="shared" si="16"/>
        <v>-8712.226917878168</v>
      </c>
      <c r="AE9" s="73">
        <f t="shared" si="17"/>
        <v>9.0949470177292824E-11</v>
      </c>
      <c r="AF9" s="1">
        <v>1</v>
      </c>
    </row>
    <row r="10" spans="1:32" x14ac:dyDescent="0.2">
      <c r="B10" s="18" t="s">
        <v>21</v>
      </c>
      <c r="C10" s="11">
        <v>2.3E-2</v>
      </c>
      <c r="I10" s="56">
        <f t="shared" si="0"/>
        <v>7.2489999999999997</v>
      </c>
      <c r="J10" s="57">
        <f t="shared" si="1"/>
        <v>7.2653999999999996</v>
      </c>
      <c r="K10" s="56">
        <f t="shared" si="2"/>
        <v>7.2350000000000003</v>
      </c>
      <c r="L10" s="58">
        <f t="shared" si="3"/>
        <v>7.2501999999999995</v>
      </c>
      <c r="M10" s="59">
        <f t="shared" si="4"/>
        <v>2.0964938898238028E-3</v>
      </c>
      <c r="N10" s="69">
        <v>7.53</v>
      </c>
      <c r="O10" s="61">
        <f t="shared" si="5"/>
        <v>2.3E-2</v>
      </c>
      <c r="P10" s="68">
        <v>3</v>
      </c>
      <c r="Q10" s="62">
        <f t="shared" si="6"/>
        <v>1.3726E-2</v>
      </c>
      <c r="R10" s="63">
        <f t="shared" si="7"/>
        <v>30000</v>
      </c>
      <c r="S10" s="63">
        <v>31476.48272756677</v>
      </c>
      <c r="T10" s="104">
        <f t="shared" si="8"/>
        <v>1.0492160909188923</v>
      </c>
      <c r="U10" s="64">
        <f t="shared" si="9"/>
        <v>-228689.23760886359</v>
      </c>
      <c r="V10" s="65">
        <f t="shared" si="10"/>
        <v>31476.48272756677</v>
      </c>
      <c r="W10" s="71">
        <f t="shared" si="11"/>
        <v>179.44935721394179</v>
      </c>
      <c r="X10" s="71">
        <f t="shared" si="12"/>
        <v>31655.932084780714</v>
      </c>
      <c r="Y10" s="70">
        <f>X10*(N10*(1-M10))</f>
        <v>237869.42909290985</v>
      </c>
      <c r="Z10" s="70">
        <f t="shared" si="13"/>
        <v>-225131.40648566495</v>
      </c>
      <c r="AA10" s="70">
        <f>Y10+U10+N10*R10*(-1)</f>
        <v>-216719.80851595374</v>
      </c>
      <c r="AB10" s="72">
        <f t="shared" si="14"/>
        <v>3.8592038840307957E-2</v>
      </c>
      <c r="AC10" s="72">
        <f t="shared" si="15"/>
        <v>-3.736305876206928E-2</v>
      </c>
      <c r="AD10" s="67">
        <f t="shared" si="16"/>
        <v>-8411.5979697112125</v>
      </c>
      <c r="AE10" s="73">
        <f t="shared" si="17"/>
        <v>0</v>
      </c>
      <c r="AF10" s="1">
        <v>1</v>
      </c>
    </row>
    <row r="11" spans="1:32" x14ac:dyDescent="0.2">
      <c r="B11" s="18" t="s">
        <v>6</v>
      </c>
      <c r="C11" s="7">
        <v>3</v>
      </c>
      <c r="I11" s="56">
        <f t="shared" si="0"/>
        <v>7.2489999999999997</v>
      </c>
      <c r="J11" s="57">
        <f t="shared" si="1"/>
        <v>7.2653999999999996</v>
      </c>
      <c r="K11" s="56">
        <f t="shared" si="2"/>
        <v>7.2350000000000003</v>
      </c>
      <c r="L11" s="58">
        <f t="shared" si="3"/>
        <v>7.2501999999999995</v>
      </c>
      <c r="M11" s="59">
        <f t="shared" si="4"/>
        <v>2.0964938898238028E-3</v>
      </c>
      <c r="N11" s="69">
        <v>7.52</v>
      </c>
      <c r="O11" s="61">
        <f t="shared" si="5"/>
        <v>2.3E-2</v>
      </c>
      <c r="P11" s="68">
        <v>3</v>
      </c>
      <c r="Q11" s="62">
        <f t="shared" si="6"/>
        <v>1.3726E-2</v>
      </c>
      <c r="R11" s="63">
        <f t="shared" si="7"/>
        <v>30000</v>
      </c>
      <c r="S11" s="63">
        <v>31527.069256411931</v>
      </c>
      <c r="T11" s="104">
        <f t="shared" si="8"/>
        <v>1.0509023085470643</v>
      </c>
      <c r="U11" s="64">
        <f t="shared" si="9"/>
        <v>-229056.76897553523</v>
      </c>
      <c r="V11" s="65">
        <f t="shared" si="10"/>
        <v>31527.069256411931</v>
      </c>
      <c r="W11" s="71">
        <f t="shared" si="11"/>
        <v>179.73775411532105</v>
      </c>
      <c r="X11" s="71">
        <f t="shared" si="12"/>
        <v>31706.807010527253</v>
      </c>
      <c r="Y11" s="70">
        <f>X11*(N11*(1-M11))</f>
        <v>237935.31080289619</v>
      </c>
      <c r="Z11" s="70">
        <f t="shared" si="13"/>
        <v>-224832.42719418331</v>
      </c>
      <c r="AA11" s="70">
        <f>Y11+U11+N11*R11*(-1)</f>
        <v>-216721.45817263905</v>
      </c>
      <c r="AB11" s="72">
        <f t="shared" si="14"/>
        <v>3.7212766544371195E-2</v>
      </c>
      <c r="AC11" s="72">
        <f t="shared" si="15"/>
        <v>-3.6075619174537422E-2</v>
      </c>
      <c r="AD11" s="67">
        <f t="shared" si="16"/>
        <v>-8110.9690215442588</v>
      </c>
      <c r="AE11" s="73">
        <f t="shared" si="17"/>
        <v>9.0949470177292824E-12</v>
      </c>
      <c r="AF11" s="1">
        <v>1</v>
      </c>
    </row>
    <row r="12" spans="1:32" ht="17" thickBot="1" x14ac:dyDescent="0.25">
      <c r="A12" s="5" t="s">
        <v>16</v>
      </c>
      <c r="B12" s="24" t="s">
        <v>15</v>
      </c>
      <c r="C12" s="25">
        <v>1.3726E-2</v>
      </c>
      <c r="D12" s="38"/>
      <c r="E12" s="38"/>
      <c r="I12" s="56">
        <f t="shared" si="0"/>
        <v>7.2489999999999997</v>
      </c>
      <c r="J12" s="57">
        <f t="shared" si="1"/>
        <v>7.2653999999999996</v>
      </c>
      <c r="K12" s="56">
        <f t="shared" si="2"/>
        <v>7.2350000000000003</v>
      </c>
      <c r="L12" s="58">
        <f t="shared" si="3"/>
        <v>7.2501999999999995</v>
      </c>
      <c r="M12" s="59">
        <f t="shared" si="4"/>
        <v>2.0964938898238028E-3</v>
      </c>
      <c r="N12" s="69">
        <v>7.51</v>
      </c>
      <c r="O12" s="61">
        <f t="shared" si="5"/>
        <v>2.3E-2</v>
      </c>
      <c r="P12" s="68">
        <v>3</v>
      </c>
      <c r="Q12" s="62">
        <f t="shared" si="6"/>
        <v>1.3726E-2</v>
      </c>
      <c r="R12" s="63">
        <f t="shared" si="7"/>
        <v>30000</v>
      </c>
      <c r="S12" s="63">
        <v>31581.394511662009</v>
      </c>
      <c r="T12" s="104">
        <f t="shared" si="8"/>
        <v>1.0527131503887337</v>
      </c>
      <c r="U12" s="64">
        <f t="shared" si="9"/>
        <v>-229451.46368502916</v>
      </c>
      <c r="V12" s="65">
        <f t="shared" si="10"/>
        <v>31581.394511662009</v>
      </c>
      <c r="W12" s="71">
        <f t="shared" si="11"/>
        <v>180.04746572508017</v>
      </c>
      <c r="X12" s="71">
        <f t="shared" si="12"/>
        <v>31761.44197738709</v>
      </c>
      <c r="Y12" s="70">
        <f>X12*(N12*(1-M12))</f>
        <v>238028.35585570478</v>
      </c>
      <c r="Z12" s="70">
        <f t="shared" si="13"/>
        <v>-224533.44790270171</v>
      </c>
      <c r="AA12" s="70">
        <f>Y12+U12+N12*R12*(-1)</f>
        <v>-216723.10782932438</v>
      </c>
      <c r="AB12" s="72">
        <f t="shared" si="14"/>
        <v>3.5833494248434565E-2</v>
      </c>
      <c r="AC12" s="72">
        <f t="shared" si="15"/>
        <v>-3.4784750986239822E-2</v>
      </c>
      <c r="AD12" s="67">
        <f t="shared" si="16"/>
        <v>-7810.3400733773042</v>
      </c>
      <c r="AE12" s="73">
        <f t="shared" si="17"/>
        <v>2.6375346351414919E-11</v>
      </c>
      <c r="AF12" s="1">
        <v>1</v>
      </c>
    </row>
    <row r="13" spans="1:32" ht="17" thickBot="1" x14ac:dyDescent="0.25">
      <c r="A13" s="5"/>
      <c r="B13" s="39"/>
      <c r="C13" s="40"/>
      <c r="D13" s="41"/>
      <c r="E13" s="41"/>
      <c r="I13" s="56">
        <f t="shared" si="0"/>
        <v>7.2489999999999997</v>
      </c>
      <c r="J13" s="57">
        <f t="shared" si="1"/>
        <v>7.2653999999999996</v>
      </c>
      <c r="K13" s="56">
        <f t="shared" si="2"/>
        <v>7.2350000000000003</v>
      </c>
      <c r="L13" s="58">
        <f t="shared" si="3"/>
        <v>7.2501999999999995</v>
      </c>
      <c r="M13" s="59">
        <f t="shared" si="4"/>
        <v>2.0964938898238028E-3</v>
      </c>
      <c r="N13" s="69">
        <v>7.5</v>
      </c>
      <c r="O13" s="61">
        <f t="shared" si="5"/>
        <v>2.3E-2</v>
      </c>
      <c r="P13" s="68">
        <v>3</v>
      </c>
      <c r="Q13" s="62">
        <f t="shared" si="6"/>
        <v>1.3726E-2</v>
      </c>
      <c r="R13" s="63">
        <f t="shared" si="7"/>
        <v>30000</v>
      </c>
      <c r="S13" s="63">
        <v>31639.888877812184</v>
      </c>
      <c r="T13" s="104">
        <f t="shared" si="8"/>
        <v>1.0546629625937394</v>
      </c>
      <c r="U13" s="64">
        <f t="shared" si="9"/>
        <v>-229876.44865285663</v>
      </c>
      <c r="V13" s="65">
        <f t="shared" si="10"/>
        <v>31639.888877812184</v>
      </c>
      <c r="W13" s="71">
        <f t="shared" si="11"/>
        <v>180.3809456916043</v>
      </c>
      <c r="X13" s="71">
        <f t="shared" si="12"/>
        <v>31820.26982350379</v>
      </c>
      <c r="Y13" s="70">
        <f>X13*(N13*(1-M13))</f>
        <v>238151.69116684701</v>
      </c>
      <c r="Z13" s="70">
        <f t="shared" si="13"/>
        <v>-224234.46861122007</v>
      </c>
      <c r="AA13" s="70">
        <f>Y13+U13+N13*R13*(-1)</f>
        <v>-216724.75748600962</v>
      </c>
      <c r="AB13" s="72">
        <f t="shared" si="14"/>
        <v>3.4454221952497928E-2</v>
      </c>
      <c r="AC13" s="72">
        <f t="shared" si="15"/>
        <v>-3.3490440482773692E-2</v>
      </c>
      <c r="AD13" s="67">
        <f t="shared" si="16"/>
        <v>-7509.7111252103768</v>
      </c>
      <c r="AE13" s="73">
        <f>AD13+(AA13-Z13)</f>
        <v>7.4578565545380116E-11</v>
      </c>
      <c r="AF13" s="1">
        <v>1</v>
      </c>
    </row>
    <row r="14" spans="1:32" x14ac:dyDescent="0.2">
      <c r="B14" s="26"/>
      <c r="C14" s="28" t="s">
        <v>33</v>
      </c>
      <c r="D14" s="28" t="s">
        <v>13</v>
      </c>
      <c r="E14" s="27"/>
      <c r="F14" s="82" t="s">
        <v>37</v>
      </c>
      <c r="G14" s="4"/>
      <c r="H14" s="4"/>
      <c r="I14" s="56">
        <f t="shared" si="0"/>
        <v>7.2489999999999997</v>
      </c>
      <c r="J14" s="57">
        <f t="shared" si="1"/>
        <v>7.2653999999999996</v>
      </c>
      <c r="K14" s="56">
        <f t="shared" si="2"/>
        <v>7.2350000000000003</v>
      </c>
      <c r="L14" s="58">
        <f t="shared" si="3"/>
        <v>7.2501999999999995</v>
      </c>
      <c r="M14" s="59">
        <f t="shared" si="4"/>
        <v>2.0964938898238028E-3</v>
      </c>
      <c r="N14" s="69">
        <v>7.49</v>
      </c>
      <c r="O14" s="61">
        <f t="shared" si="5"/>
        <v>2.3E-2</v>
      </c>
      <c r="P14" s="68">
        <v>3</v>
      </c>
      <c r="Q14" s="62">
        <f t="shared" si="6"/>
        <v>1.3726E-2</v>
      </c>
      <c r="R14" s="63">
        <f t="shared" si="7"/>
        <v>30000</v>
      </c>
      <c r="S14" s="63">
        <v>31703.051433714249</v>
      </c>
      <c r="T14" s="104">
        <f t="shared" si="8"/>
        <v>1.0567683811238082</v>
      </c>
      <c r="U14" s="64">
        <f t="shared" si="9"/>
        <v>-230335.34988650749</v>
      </c>
      <c r="V14" s="65">
        <f t="shared" si="10"/>
        <v>31703.051433714249</v>
      </c>
      <c r="W14" s="71">
        <f t="shared" si="11"/>
        <v>180.74103929401588</v>
      </c>
      <c r="X14" s="71">
        <f t="shared" si="12"/>
        <v>31883.792473008263</v>
      </c>
      <c r="Y14" s="70">
        <f>X14*(N14*(1-M14))</f>
        <v>238308.9427438124</v>
      </c>
      <c r="Z14" s="70">
        <f t="shared" si="13"/>
        <v>-223935.48931973844</v>
      </c>
      <c r="AA14" s="70">
        <f>Y14+U14+N14*R14*(-1)</f>
        <v>-216726.4071426951</v>
      </c>
      <c r="AB14" s="72">
        <f t="shared" si="14"/>
        <v>3.3074949656561291E-2</v>
      </c>
      <c r="AC14" s="72">
        <f t="shared" si="15"/>
        <v>-3.2192673876493529E-2</v>
      </c>
      <c r="AD14" s="67">
        <f t="shared" si="16"/>
        <v>-7209.0821770434222</v>
      </c>
      <c r="AE14" s="73">
        <f t="shared" si="17"/>
        <v>-8.276401786133647E-11</v>
      </c>
      <c r="AF14" s="1">
        <v>1</v>
      </c>
    </row>
    <row r="15" spans="1:32" x14ac:dyDescent="0.2">
      <c r="B15" s="20" t="s">
        <v>23</v>
      </c>
      <c r="C15" s="7"/>
      <c r="D15" s="13">
        <v>30000</v>
      </c>
      <c r="E15" s="7"/>
      <c r="F15" s="83" t="s">
        <v>38</v>
      </c>
      <c r="I15" s="56">
        <f t="shared" si="0"/>
        <v>7.2489999999999997</v>
      </c>
      <c r="J15" s="57">
        <f t="shared" si="1"/>
        <v>7.2653999999999996</v>
      </c>
      <c r="K15" s="56">
        <f t="shared" si="2"/>
        <v>7.2350000000000003</v>
      </c>
      <c r="L15" s="58">
        <f t="shared" si="3"/>
        <v>7.2501999999999995</v>
      </c>
      <c r="M15" s="59">
        <f t="shared" si="4"/>
        <v>2.0964938898238028E-3</v>
      </c>
      <c r="N15" s="69">
        <v>7.48</v>
      </c>
      <c r="O15" s="61">
        <f t="shared" si="5"/>
        <v>2.3E-2</v>
      </c>
      <c r="P15" s="68">
        <v>3</v>
      </c>
      <c r="Q15" s="62">
        <f t="shared" si="6"/>
        <v>1.3726E-2</v>
      </c>
      <c r="R15" s="63">
        <f t="shared" si="7"/>
        <v>30000</v>
      </c>
      <c r="S15" s="63">
        <v>31771.464227722659</v>
      </c>
      <c r="T15" s="104">
        <f t="shared" si="8"/>
        <v>1.0590488075907554</v>
      </c>
      <c r="U15" s="64">
        <f t="shared" si="9"/>
        <v>-230832.39620009621</v>
      </c>
      <c r="V15" s="65">
        <f t="shared" si="10"/>
        <v>31771.464227722659</v>
      </c>
      <c r="W15" s="71">
        <f t="shared" si="11"/>
        <v>181.13106482565723</v>
      </c>
      <c r="X15" s="71">
        <f t="shared" si="12"/>
        <v>31952.595292548318</v>
      </c>
      <c r="Y15" s="70">
        <f>X15*(N15*(1-M15))</f>
        <v>238504.33940071601</v>
      </c>
      <c r="Z15" s="70">
        <f t="shared" si="13"/>
        <v>-223636.5100282568</v>
      </c>
      <c r="AA15" s="70">
        <f>Y15+U15+N15*R15*(-1)</f>
        <v>-216728.0567993802</v>
      </c>
      <c r="AB15" s="72">
        <f t="shared" si="14"/>
        <v>3.1695677360624661E-2</v>
      </c>
      <c r="AC15" s="72">
        <f t="shared" si="15"/>
        <v>-3.0891437306027145E-2</v>
      </c>
      <c r="AD15" s="67">
        <f t="shared" si="16"/>
        <v>-6908.453228876494</v>
      </c>
      <c r="AE15" s="73">
        <f t="shared" si="17"/>
        <v>1.1186784831807017E-10</v>
      </c>
      <c r="AF15" s="1">
        <v>1</v>
      </c>
    </row>
    <row r="16" spans="1:32" x14ac:dyDescent="0.2">
      <c r="B16" s="20" t="s">
        <v>41</v>
      </c>
      <c r="C16" s="7"/>
      <c r="D16" s="13">
        <v>30000</v>
      </c>
      <c r="E16" s="7"/>
      <c r="F16" s="84" t="s">
        <v>40</v>
      </c>
      <c r="I16" s="56">
        <f t="shared" si="0"/>
        <v>7.2489999999999997</v>
      </c>
      <c r="J16" s="57">
        <f t="shared" si="1"/>
        <v>7.2653999999999996</v>
      </c>
      <c r="K16" s="56">
        <f t="shared" si="2"/>
        <v>7.2350000000000003</v>
      </c>
      <c r="L16" s="58">
        <f t="shared" si="3"/>
        <v>7.2501999999999995</v>
      </c>
      <c r="M16" s="59">
        <f t="shared" si="4"/>
        <v>2.0964938898238028E-3</v>
      </c>
      <c r="N16" s="69">
        <v>7.47</v>
      </c>
      <c r="O16" s="61">
        <f t="shared" si="5"/>
        <v>2.3E-2</v>
      </c>
      <c r="P16" s="68">
        <v>3</v>
      </c>
      <c r="Q16" s="62">
        <f t="shared" si="6"/>
        <v>1.3726E-2</v>
      </c>
      <c r="R16" s="63">
        <f t="shared" si="7"/>
        <v>30000</v>
      </c>
      <c r="S16" s="63">
        <v>31845.810266951732</v>
      </c>
      <c r="T16" s="104">
        <f t="shared" si="8"/>
        <v>1.061527008898391</v>
      </c>
      <c r="U16" s="64">
        <f t="shared" si="9"/>
        <v>-231372.54991351112</v>
      </c>
      <c r="V16" s="65">
        <f t="shared" si="10"/>
        <v>31845.810266951732</v>
      </c>
      <c r="W16" s="71">
        <f t="shared" si="11"/>
        <v>181.55491615194836</v>
      </c>
      <c r="X16" s="71">
        <f t="shared" si="12"/>
        <v>32027.36518310368</v>
      </c>
      <c r="Y16" s="70">
        <f>X16*(N16*(1-M16))</f>
        <v>238742.84345744541</v>
      </c>
      <c r="Z16" s="70">
        <f t="shared" si="13"/>
        <v>-223337.5307367752</v>
      </c>
      <c r="AA16" s="70">
        <f>Y16+U16+N16*R16*(-1)</f>
        <v>-216729.7064560657</v>
      </c>
      <c r="AB16" s="72">
        <f t="shared" si="14"/>
        <v>3.0316405064687902E-2</v>
      </c>
      <c r="AC16" s="72">
        <f t="shared" si="15"/>
        <v>-2.9586716835772003E-2</v>
      </c>
      <c r="AD16" s="67">
        <f t="shared" si="16"/>
        <v>-6607.824280709513</v>
      </c>
      <c r="AE16" s="73">
        <f t="shared" si="17"/>
        <v>-1.9099388737231493E-11</v>
      </c>
      <c r="AF16" s="1">
        <v>1</v>
      </c>
    </row>
    <row r="17" spans="2:32" x14ac:dyDescent="0.2">
      <c r="B17" s="43" t="s">
        <v>42</v>
      </c>
      <c r="C17" s="45"/>
      <c r="D17" s="45"/>
      <c r="E17" s="87">
        <f>D16/D15</f>
        <v>1</v>
      </c>
      <c r="F17" s="86"/>
      <c r="I17" s="56">
        <f t="shared" si="0"/>
        <v>7.2489999999999997</v>
      </c>
      <c r="J17" s="57">
        <f t="shared" si="1"/>
        <v>7.2653999999999996</v>
      </c>
      <c r="K17" s="56">
        <f t="shared" si="2"/>
        <v>7.2350000000000003</v>
      </c>
      <c r="L17" s="58">
        <f t="shared" si="3"/>
        <v>7.2501999999999995</v>
      </c>
      <c r="M17" s="59">
        <f t="shared" si="4"/>
        <v>2.0964938898238028E-3</v>
      </c>
      <c r="N17" s="69">
        <v>7.46</v>
      </c>
      <c r="O17" s="61">
        <f t="shared" si="5"/>
        <v>2.3E-2</v>
      </c>
      <c r="P17" s="68">
        <v>3</v>
      </c>
      <c r="Q17" s="62">
        <f t="shared" si="6"/>
        <v>1.3726E-2</v>
      </c>
      <c r="R17" s="63">
        <f t="shared" si="7"/>
        <v>30000</v>
      </c>
      <c r="S17" s="63">
        <v>31926.896399187259</v>
      </c>
      <c r="T17" s="104">
        <f t="shared" si="8"/>
        <v>1.0642298799729086</v>
      </c>
      <c r="U17" s="64">
        <f t="shared" si="9"/>
        <v>-231961.6730986551</v>
      </c>
      <c r="V17" s="65">
        <f t="shared" si="10"/>
        <v>31926.896399187259</v>
      </c>
      <c r="W17" s="71">
        <f t="shared" si="11"/>
        <v>182.01719316156758</v>
      </c>
      <c r="X17" s="71">
        <f t="shared" si="12"/>
        <v>32108.913592348825</v>
      </c>
      <c r="Y17" s="70">
        <f>X17*(N17*(1-M17))</f>
        <v>239030.31698590412</v>
      </c>
      <c r="Z17" s="70">
        <f t="shared" si="13"/>
        <v>-223038.55144529356</v>
      </c>
      <c r="AA17" s="70">
        <f>Y17+U17+N17*R17*(-1)</f>
        <v>-216731.35611275097</v>
      </c>
      <c r="AB17" s="72">
        <f t="shared" si="14"/>
        <v>2.8937132768751268E-2</v>
      </c>
      <c r="AC17" s="72">
        <f t="shared" si="15"/>
        <v>-2.8278498455409855E-2</v>
      </c>
      <c r="AD17" s="67">
        <f t="shared" si="16"/>
        <v>-6307.1953325425857</v>
      </c>
      <c r="AE17" s="73">
        <f t="shared" si="17"/>
        <v>0</v>
      </c>
      <c r="AF17" s="1">
        <v>1</v>
      </c>
    </row>
    <row r="18" spans="2:32" ht="17" thickBot="1" x14ac:dyDescent="0.25">
      <c r="B18" s="93" t="s">
        <v>24</v>
      </c>
      <c r="C18" s="50">
        <f>D16*C5*(-1)</f>
        <v>-217962</v>
      </c>
      <c r="D18" s="30"/>
      <c r="E18" s="30"/>
      <c r="F18" s="38"/>
      <c r="I18" s="56">
        <f t="shared" si="0"/>
        <v>7.2489999999999997</v>
      </c>
      <c r="J18" s="57">
        <f t="shared" si="1"/>
        <v>7.2653999999999996</v>
      </c>
      <c r="K18" s="56">
        <f t="shared" si="2"/>
        <v>7.2350000000000003</v>
      </c>
      <c r="L18" s="58">
        <f t="shared" si="3"/>
        <v>7.2501999999999995</v>
      </c>
      <c r="M18" s="59">
        <f t="shared" si="4"/>
        <v>2.0964938898238028E-3</v>
      </c>
      <c r="N18" s="69">
        <v>7.45</v>
      </c>
      <c r="O18" s="61">
        <f t="shared" si="5"/>
        <v>2.3E-2</v>
      </c>
      <c r="P18" s="68">
        <v>3</v>
      </c>
      <c r="Q18" s="62">
        <f t="shared" si="6"/>
        <v>1.3726E-2</v>
      </c>
      <c r="R18" s="63">
        <f t="shared" si="7"/>
        <v>30000</v>
      </c>
      <c r="S18" s="63">
        <v>32015.68271357855</v>
      </c>
      <c r="T18" s="104">
        <f t="shared" si="8"/>
        <v>1.0671894237859516</v>
      </c>
      <c r="U18" s="64">
        <f t="shared" si="9"/>
        <v>-232606.74118723359</v>
      </c>
      <c r="V18" s="65">
        <f t="shared" si="10"/>
        <v>32015.68271357855</v>
      </c>
      <c r="W18" s="71">
        <f t="shared" si="11"/>
        <v>182.5233693815986</v>
      </c>
      <c r="X18" s="71">
        <f t="shared" si="12"/>
        <v>32198.206082960147</v>
      </c>
      <c r="Y18" s="70">
        <f>X18*(N18*(1-M18))</f>
        <v>239373.73541779732</v>
      </c>
      <c r="Z18" s="70">
        <f t="shared" si="13"/>
        <v>-222739.57215381193</v>
      </c>
      <c r="AA18" s="70">
        <f>Y18+U18+N18*R18*(-1)</f>
        <v>-216733.00576943628</v>
      </c>
      <c r="AB18" s="72">
        <f t="shared" si="14"/>
        <v>2.7557860472814635E-2</v>
      </c>
      <c r="AC18" s="72">
        <f t="shared" si="15"/>
        <v>-2.69667680793956E-2</v>
      </c>
      <c r="AD18" s="67">
        <f t="shared" si="16"/>
        <v>-6006.5663843756311</v>
      </c>
      <c r="AE18" s="73">
        <f t="shared" si="17"/>
        <v>1.7280399333685637E-11</v>
      </c>
      <c r="AF18" s="1">
        <v>1</v>
      </c>
    </row>
    <row r="19" spans="2:32" ht="17" thickBot="1" x14ac:dyDescent="0.25">
      <c r="B19" s="96" t="s">
        <v>25</v>
      </c>
      <c r="C19" s="97"/>
      <c r="D19" s="98">
        <f>D16</f>
        <v>30000</v>
      </c>
      <c r="E19" s="99"/>
      <c r="F19" s="94" t="s">
        <v>45</v>
      </c>
      <c r="I19" s="56">
        <f t="shared" si="0"/>
        <v>7.2489999999999997</v>
      </c>
      <c r="J19" s="57">
        <f t="shared" si="1"/>
        <v>7.2653999999999996</v>
      </c>
      <c r="K19" s="56">
        <f t="shared" si="2"/>
        <v>7.2350000000000003</v>
      </c>
      <c r="L19" s="58">
        <f t="shared" si="3"/>
        <v>7.2501999999999995</v>
      </c>
      <c r="M19" s="59">
        <f t="shared" si="4"/>
        <v>2.0964938898238028E-3</v>
      </c>
      <c r="N19" s="69">
        <v>7.44</v>
      </c>
      <c r="O19" s="61">
        <f t="shared" si="5"/>
        <v>2.3E-2</v>
      </c>
      <c r="P19" s="68">
        <v>3</v>
      </c>
      <c r="Q19" s="62">
        <f t="shared" si="6"/>
        <v>1.3726E-2</v>
      </c>
      <c r="R19" s="63">
        <f t="shared" si="7"/>
        <v>30000</v>
      </c>
      <c r="S19" s="63">
        <v>32113.320734809851</v>
      </c>
      <c r="T19" s="104">
        <f t="shared" si="8"/>
        <v>1.0704440244936617</v>
      </c>
      <c r="U19" s="64">
        <f t="shared" si="9"/>
        <v>-233316.12046668748</v>
      </c>
      <c r="V19" s="65">
        <f t="shared" si="10"/>
        <v>32113.320734809851</v>
      </c>
      <c r="W19" s="71">
        <f t="shared" si="11"/>
        <v>183.08000972484299</v>
      </c>
      <c r="X19" s="71">
        <f t="shared" si="12"/>
        <v>32296.400744534694</v>
      </c>
      <c r="Y19" s="70">
        <f>X19*(N19*(1-M19))</f>
        <v>239781.46504056593</v>
      </c>
      <c r="Z19" s="70">
        <f t="shared" si="13"/>
        <v>-222440.59286233032</v>
      </c>
      <c r="AA19" s="70">
        <f>Y19+U19+N19*R19*(-1)</f>
        <v>-216734.65542612155</v>
      </c>
      <c r="AB19" s="72">
        <f t="shared" si="14"/>
        <v>2.6178588176877998E-2</v>
      </c>
      <c r="AC19" s="72">
        <f t="shared" si="15"/>
        <v>-2.5651511546456833E-2</v>
      </c>
      <c r="AD19" s="67">
        <f t="shared" si="16"/>
        <v>-5705.9374362087037</v>
      </c>
      <c r="AE19" s="73">
        <f t="shared" si="17"/>
        <v>6.5483618527650833E-11</v>
      </c>
      <c r="AF19" s="1">
        <v>1</v>
      </c>
    </row>
    <row r="20" spans="2:32" ht="17" thickBot="1" x14ac:dyDescent="0.25">
      <c r="B20" s="19" t="s">
        <v>26</v>
      </c>
      <c r="C20" s="14"/>
      <c r="D20" s="16">
        <f>(D19)*((1+C10)^(C11/12)-1)</f>
        <v>171.03183869090489</v>
      </c>
      <c r="E20" s="30"/>
      <c r="F20" s="95"/>
      <c r="I20" s="56">
        <f t="shared" si="0"/>
        <v>7.2489999999999997</v>
      </c>
      <c r="J20" s="57">
        <f t="shared" si="1"/>
        <v>7.2653999999999996</v>
      </c>
      <c r="K20" s="56">
        <f t="shared" si="2"/>
        <v>7.2350000000000003</v>
      </c>
      <c r="L20" s="58">
        <f t="shared" si="3"/>
        <v>7.2501999999999995</v>
      </c>
      <c r="M20" s="59">
        <f t="shared" si="4"/>
        <v>2.0964938898238028E-3</v>
      </c>
      <c r="N20" s="69">
        <v>7.43</v>
      </c>
      <c r="O20" s="61">
        <f t="shared" si="5"/>
        <v>2.3E-2</v>
      </c>
      <c r="P20" s="68">
        <v>3</v>
      </c>
      <c r="Q20" s="62">
        <f t="shared" si="6"/>
        <v>1.3726E-2</v>
      </c>
      <c r="R20" s="63">
        <f t="shared" si="7"/>
        <v>30000</v>
      </c>
      <c r="S20" s="63">
        <v>32221.203640082513</v>
      </c>
      <c r="T20" s="104">
        <f t="shared" si="8"/>
        <v>1.0740401213360837</v>
      </c>
      <c r="U20" s="64">
        <f t="shared" si="9"/>
        <v>-234099.93292665549</v>
      </c>
      <c r="V20" s="65">
        <f t="shared" si="10"/>
        <v>32221.203640082513</v>
      </c>
      <c r="W20" s="71">
        <f t="shared" si="11"/>
        <v>183.69505677991299</v>
      </c>
      <c r="X20" s="71">
        <f t="shared" si="12"/>
        <v>32404.898696862427</v>
      </c>
      <c r="Y20" s="70">
        <f>X20*(N20*(1-M20))</f>
        <v>240263.62784384863</v>
      </c>
      <c r="Z20" s="70">
        <f t="shared" si="13"/>
        <v>-222141.61357084868</v>
      </c>
      <c r="AA20" s="70">
        <f>Y20+U20+N20*R20*(-1)</f>
        <v>-216736.30508280685</v>
      </c>
      <c r="AB20" s="72">
        <f t="shared" si="14"/>
        <v>2.4799315880941242E-2</v>
      </c>
      <c r="AC20" s="72">
        <f t="shared" si="15"/>
        <v>-2.4332714619081899E-2</v>
      </c>
      <c r="AD20" s="67">
        <f t="shared" si="16"/>
        <v>-5405.3084880417227</v>
      </c>
      <c r="AE20" s="73">
        <f t="shared" si="17"/>
        <v>1.0913936421275139E-10</v>
      </c>
      <c r="AF20" s="1">
        <v>1</v>
      </c>
    </row>
    <row r="21" spans="2:32" x14ac:dyDescent="0.2">
      <c r="B21" s="19" t="s">
        <v>27</v>
      </c>
      <c r="C21" s="14"/>
      <c r="D21" s="16">
        <f>D19+D20</f>
        <v>30171.031838690906</v>
      </c>
      <c r="E21" s="14"/>
      <c r="I21" s="56">
        <f t="shared" si="0"/>
        <v>7.2489999999999997</v>
      </c>
      <c r="J21" s="57">
        <f t="shared" si="1"/>
        <v>7.2653999999999996</v>
      </c>
      <c r="K21" s="56">
        <f t="shared" si="2"/>
        <v>7.2350000000000003</v>
      </c>
      <c r="L21" s="58">
        <f t="shared" si="3"/>
        <v>7.2501999999999995</v>
      </c>
      <c r="M21" s="59">
        <f t="shared" si="4"/>
        <v>2.0964938898238028E-3</v>
      </c>
      <c r="N21" s="69">
        <v>7.42</v>
      </c>
      <c r="O21" s="61">
        <f t="shared" si="5"/>
        <v>2.3E-2</v>
      </c>
      <c r="P21" s="68">
        <v>3</v>
      </c>
      <c r="Q21" s="62">
        <f t="shared" si="6"/>
        <v>1.3726E-2</v>
      </c>
      <c r="R21" s="63">
        <f t="shared" si="7"/>
        <v>30000</v>
      </c>
      <c r="S21" s="63">
        <v>32341.033158715509</v>
      </c>
      <c r="T21" s="104">
        <f t="shared" si="8"/>
        <v>1.0780344386238503</v>
      </c>
      <c r="U21" s="64">
        <f t="shared" si="9"/>
        <v>-234970.54231133164</v>
      </c>
      <c r="V21" s="65">
        <f t="shared" si="10"/>
        <v>32341.033158715509</v>
      </c>
      <c r="W21" s="71">
        <f t="shared" si="11"/>
        <v>184.37821220995457</v>
      </c>
      <c r="X21" s="71">
        <f t="shared" si="12"/>
        <v>32525.411370925463</v>
      </c>
      <c r="Y21" s="70">
        <f>X21*(N21*(1-M21))</f>
        <v>240832.58757183954</v>
      </c>
      <c r="Z21" s="70">
        <f t="shared" si="13"/>
        <v>-221842.63427936705</v>
      </c>
      <c r="AA21" s="70">
        <f>Y21+U21+N21*R21*(-1)</f>
        <v>-216737.9547394921</v>
      </c>
      <c r="AB21" s="72">
        <f t="shared" si="14"/>
        <v>2.3420043585004609E-2</v>
      </c>
      <c r="AC21" s="72">
        <f t="shared" si="15"/>
        <v>-2.3010362983008105E-2</v>
      </c>
      <c r="AD21" s="67">
        <f t="shared" si="16"/>
        <v>-5104.6795398747945</v>
      </c>
      <c r="AE21" s="73">
        <f t="shared" si="17"/>
        <v>1.5825207810848951E-10</v>
      </c>
      <c r="AF21" s="1">
        <v>1</v>
      </c>
    </row>
    <row r="22" spans="2:32" x14ac:dyDescent="0.2">
      <c r="B22" s="35" t="s">
        <v>28</v>
      </c>
      <c r="C22" s="37">
        <f>D21*(C9*(1-C8))</f>
        <v>225808.33841093557</v>
      </c>
      <c r="D22" s="36"/>
      <c r="E22" s="36"/>
      <c r="I22" s="56">
        <f t="shared" si="0"/>
        <v>7.2489999999999997</v>
      </c>
      <c r="J22" s="57">
        <f t="shared" si="1"/>
        <v>7.2653999999999996</v>
      </c>
      <c r="K22" s="56">
        <f t="shared" si="2"/>
        <v>7.2350000000000003</v>
      </c>
      <c r="L22" s="58">
        <f t="shared" si="3"/>
        <v>7.2501999999999995</v>
      </c>
      <c r="M22" s="59">
        <f t="shared" si="4"/>
        <v>2.0964938898238028E-3</v>
      </c>
      <c r="N22" s="69">
        <v>7.41</v>
      </c>
      <c r="O22" s="61">
        <f t="shared" si="5"/>
        <v>2.3E-2</v>
      </c>
      <c r="P22" s="68">
        <v>3</v>
      </c>
      <c r="Q22" s="62">
        <f t="shared" si="6"/>
        <v>1.3726E-2</v>
      </c>
      <c r="R22" s="63">
        <f t="shared" si="7"/>
        <v>30000</v>
      </c>
      <c r="S22" s="63">
        <v>32474.909999169038</v>
      </c>
      <c r="T22" s="104">
        <f t="shared" si="8"/>
        <v>1.0824969999723013</v>
      </c>
      <c r="U22" s="64">
        <f t="shared" si="9"/>
        <v>-235943.21110796271</v>
      </c>
      <c r="V22" s="65">
        <f t="shared" si="10"/>
        <v>32474.909999169038</v>
      </c>
      <c r="W22" s="71">
        <f t="shared" si="11"/>
        <v>185.1414522826511</v>
      </c>
      <c r="X22" s="71">
        <f t="shared" si="12"/>
        <v>32660.051451451691</v>
      </c>
      <c r="Y22" s="70">
        <f>X22*(N22*(1-M22))</f>
        <v>241503.60671178513</v>
      </c>
      <c r="Z22" s="70">
        <f t="shared" si="13"/>
        <v>-221543.65498788541</v>
      </c>
      <c r="AA22" s="70">
        <f>Y22+U22+N22*R22*(-1)</f>
        <v>-216739.60439617757</v>
      </c>
      <c r="AB22" s="72">
        <f t="shared" si="14"/>
        <v>2.2040771289067972E-2</v>
      </c>
      <c r="AC22" s="72">
        <f t="shared" si="15"/>
        <v>-2.1684442246700943E-2</v>
      </c>
      <c r="AD22" s="67">
        <f t="shared" si="16"/>
        <v>-4804.0505917078399</v>
      </c>
      <c r="AE22" s="73">
        <f t="shared" si="17"/>
        <v>0</v>
      </c>
      <c r="AF22" s="1">
        <v>1</v>
      </c>
    </row>
    <row r="23" spans="2:32" x14ac:dyDescent="0.2">
      <c r="B23" s="21"/>
      <c r="E23" s="3"/>
      <c r="I23" s="56">
        <f t="shared" si="0"/>
        <v>7.2489999999999997</v>
      </c>
      <c r="J23" s="57">
        <f t="shared" si="1"/>
        <v>7.2653999999999996</v>
      </c>
      <c r="K23" s="56">
        <f t="shared" si="2"/>
        <v>7.2350000000000003</v>
      </c>
      <c r="L23" s="58">
        <f t="shared" si="3"/>
        <v>7.2501999999999995</v>
      </c>
      <c r="M23" s="59">
        <f t="shared" si="4"/>
        <v>2.0964938898238028E-3</v>
      </c>
      <c r="N23" s="69">
        <v>7.4</v>
      </c>
      <c r="O23" s="61">
        <f t="shared" si="5"/>
        <v>2.3E-2</v>
      </c>
      <c r="P23" s="68">
        <v>3</v>
      </c>
      <c r="Q23" s="62">
        <f t="shared" si="6"/>
        <v>1.3726E-2</v>
      </c>
      <c r="R23" s="63">
        <f t="shared" si="7"/>
        <v>30000</v>
      </c>
      <c r="S23" s="63">
        <v>32625.458057773048</v>
      </c>
      <c r="T23" s="104">
        <f t="shared" si="8"/>
        <v>1.087515268592435</v>
      </c>
      <c r="U23" s="64">
        <f t="shared" si="9"/>
        <v>-237037.00297294429</v>
      </c>
      <c r="V23" s="65">
        <f t="shared" si="10"/>
        <v>32625.458057773048</v>
      </c>
      <c r="W23" s="71">
        <f t="shared" si="11"/>
        <v>185.99973599179742</v>
      </c>
      <c r="X23" s="71">
        <f t="shared" si="12"/>
        <v>32811.457793764843</v>
      </c>
      <c r="Y23" s="70">
        <f>X23*(N23*(1-M23))</f>
        <v>242295.74892008162</v>
      </c>
      <c r="Z23" s="70">
        <f t="shared" si="13"/>
        <v>-221244.67569640381</v>
      </c>
      <c r="AA23" s="70">
        <f>Y23+U23+N23*R23*(-1)</f>
        <v>-216741.25405286267</v>
      </c>
      <c r="AB23" s="72">
        <f t="shared" si="14"/>
        <v>2.0661498993131338E-2</v>
      </c>
      <c r="AC23" s="72">
        <f t="shared" si="15"/>
        <v>-2.0354937940838033E-2</v>
      </c>
      <c r="AD23" s="67">
        <f t="shared" si="16"/>
        <v>-4503.4216435409126</v>
      </c>
      <c r="AE23" s="73">
        <f t="shared" si="17"/>
        <v>2.2373569663614035E-10</v>
      </c>
      <c r="AF23" s="1">
        <v>1</v>
      </c>
    </row>
    <row r="24" spans="2:32" x14ac:dyDescent="0.2">
      <c r="B24" s="19" t="s">
        <v>29</v>
      </c>
      <c r="C24" s="15">
        <f>C9*D15*(-1)/((1+C12)^(C11/12))</f>
        <v>-224234.46861122007</v>
      </c>
      <c r="D24" s="14"/>
      <c r="E24" s="14"/>
      <c r="I24" s="56">
        <f t="shared" si="0"/>
        <v>7.2489999999999997</v>
      </c>
      <c r="J24" s="57">
        <f t="shared" si="1"/>
        <v>7.2653999999999996</v>
      </c>
      <c r="K24" s="56">
        <f t="shared" si="2"/>
        <v>7.2350000000000003</v>
      </c>
      <c r="L24" s="58">
        <f t="shared" si="3"/>
        <v>7.2501999999999995</v>
      </c>
      <c r="M24" s="59">
        <f t="shared" si="4"/>
        <v>2.0964938898238028E-3</v>
      </c>
      <c r="N24" s="69">
        <v>7.39</v>
      </c>
      <c r="O24" s="61">
        <f t="shared" si="5"/>
        <v>2.3E-2</v>
      </c>
      <c r="P24" s="68">
        <v>3</v>
      </c>
      <c r="Q24" s="62">
        <f t="shared" si="6"/>
        <v>1.3726E-2</v>
      </c>
      <c r="R24" s="63">
        <f t="shared" si="7"/>
        <v>30000</v>
      </c>
      <c r="S24" s="63">
        <v>32795.998110231718</v>
      </c>
      <c r="T24" s="104">
        <f t="shared" si="8"/>
        <v>1.0931999370077239</v>
      </c>
      <c r="U24" s="64">
        <f t="shared" si="9"/>
        <v>-238276.04467007751</v>
      </c>
      <c r="V24" s="65">
        <f t="shared" si="10"/>
        <v>32795.998110231718</v>
      </c>
      <c r="W24" s="71">
        <f t="shared" si="11"/>
        <v>186.97199528321241</v>
      </c>
      <c r="X24" s="71">
        <f t="shared" si="12"/>
        <v>32982.970105514927</v>
      </c>
      <c r="Y24" s="70">
        <f>X24*(N24*(1-M24))</f>
        <v>243233.1409605293</v>
      </c>
      <c r="Z24" s="70">
        <f t="shared" si="13"/>
        <v>-220945.69640492217</v>
      </c>
      <c r="AA24" s="70">
        <f>Y24+U24+N24*R24*(-1)</f>
        <v>-216742.90370954821</v>
      </c>
      <c r="AB24" s="72">
        <f t="shared" si="14"/>
        <v>1.9282226697194583E-2</v>
      </c>
      <c r="AC24" s="72">
        <f t="shared" si="15"/>
        <v>-1.9021835517771767E-2</v>
      </c>
      <c r="AD24" s="67">
        <f t="shared" si="16"/>
        <v>-4202.7926953739316</v>
      </c>
      <c r="AE24" s="73">
        <f t="shared" si="17"/>
        <v>3.4560798667371273E-11</v>
      </c>
      <c r="AF24" s="1">
        <v>1</v>
      </c>
    </row>
    <row r="25" spans="2:32" x14ac:dyDescent="0.2">
      <c r="B25" s="22" t="s">
        <v>30</v>
      </c>
      <c r="C25" s="15">
        <f>C22+C18+C9*D15*(-1)</f>
        <v>-217153.66158906443</v>
      </c>
      <c r="D25" s="14"/>
      <c r="E25" s="14"/>
      <c r="I25" s="56">
        <f t="shared" si="0"/>
        <v>7.2489999999999997</v>
      </c>
      <c r="J25" s="57">
        <f t="shared" si="1"/>
        <v>7.2653999999999996</v>
      </c>
      <c r="K25" s="56">
        <f t="shared" si="2"/>
        <v>7.2350000000000003</v>
      </c>
      <c r="L25" s="58">
        <f t="shared" si="3"/>
        <v>7.2501999999999995</v>
      </c>
      <c r="M25" s="59">
        <f t="shared" si="4"/>
        <v>2.0964938898238028E-3</v>
      </c>
      <c r="N25" s="69">
        <v>7.38</v>
      </c>
      <c r="O25" s="61">
        <f t="shared" si="5"/>
        <v>2.3E-2</v>
      </c>
      <c r="P25" s="68">
        <v>3</v>
      </c>
      <c r="Q25" s="62">
        <f t="shared" si="6"/>
        <v>1.3726E-2</v>
      </c>
      <c r="R25" s="63">
        <f t="shared" si="7"/>
        <v>30000</v>
      </c>
      <c r="S25" s="63">
        <v>32990.795620325458</v>
      </c>
      <c r="T25" s="104">
        <f t="shared" si="8"/>
        <v>1.099693187344182</v>
      </c>
      <c r="U25" s="64">
        <f t="shared" si="9"/>
        <v>-239691.32649991257</v>
      </c>
      <c r="V25" s="65">
        <f t="shared" si="10"/>
        <v>32990.795620325458</v>
      </c>
      <c r="W25" s="71">
        <f t="shared" si="11"/>
        <v>188.08254782733715</v>
      </c>
      <c r="X25" s="71">
        <f t="shared" si="12"/>
        <v>33178.878168152798</v>
      </c>
      <c r="Y25" s="70">
        <f>X25*(N25*(1-M25))</f>
        <v>244346.77313367918</v>
      </c>
      <c r="Z25" s="70">
        <f t="shared" si="13"/>
        <v>-220646.71711344054</v>
      </c>
      <c r="AA25" s="70">
        <f>Y25+U25+N25*R25*(-1)</f>
        <v>-216744.55336623339</v>
      </c>
      <c r="AB25" s="72">
        <f t="shared" si="14"/>
        <v>1.7902954401257946E-2</v>
      </c>
      <c r="AC25" s="72">
        <f t="shared" si="15"/>
        <v>-1.7685120351013134E-2</v>
      </c>
      <c r="AD25" s="67">
        <f t="shared" si="16"/>
        <v>-3902.1637472070038</v>
      </c>
      <c r="AE25" s="73">
        <f t="shared" si="17"/>
        <v>1.4142642612569034E-10</v>
      </c>
      <c r="AF25" s="1">
        <v>1</v>
      </c>
    </row>
    <row r="26" spans="2:32" x14ac:dyDescent="0.2">
      <c r="B26" s="43" t="s">
        <v>11</v>
      </c>
      <c r="C26" s="45"/>
      <c r="D26" s="45"/>
      <c r="E26" s="46">
        <f>(C9-C7)/C7</f>
        <v>3.4454221952497928E-2</v>
      </c>
      <c r="I26" s="56">
        <f t="shared" si="0"/>
        <v>7.2489999999999997</v>
      </c>
      <c r="J26" s="57">
        <f t="shared" si="1"/>
        <v>7.2653999999999996</v>
      </c>
      <c r="K26" s="56">
        <f t="shared" si="2"/>
        <v>7.2350000000000003</v>
      </c>
      <c r="L26" s="58">
        <f t="shared" si="3"/>
        <v>7.2501999999999995</v>
      </c>
      <c r="M26" s="59">
        <f t="shared" si="4"/>
        <v>2.0964938898238028E-3</v>
      </c>
      <c r="N26" s="69">
        <v>7.37</v>
      </c>
      <c r="O26" s="61">
        <f t="shared" si="5"/>
        <v>2.3E-2</v>
      </c>
      <c r="P26" s="68">
        <v>3</v>
      </c>
      <c r="Q26" s="62">
        <f t="shared" si="6"/>
        <v>1.3726E-2</v>
      </c>
      <c r="R26" s="63">
        <f t="shared" si="7"/>
        <v>30000</v>
      </c>
      <c r="S26" s="63">
        <v>33215.422389081439</v>
      </c>
      <c r="T26" s="104">
        <f t="shared" si="8"/>
        <v>1.1071807463027146</v>
      </c>
      <c r="U26" s="64">
        <f t="shared" si="9"/>
        <v>-241323.32982563227</v>
      </c>
      <c r="V26" s="65">
        <f t="shared" si="10"/>
        <v>33215.422389081439</v>
      </c>
      <c r="W26" s="71">
        <f t="shared" si="11"/>
        <v>189.36315880332157</v>
      </c>
      <c r="X26" s="71">
        <f t="shared" si="12"/>
        <v>33404.785547884763</v>
      </c>
      <c r="Y26" s="70">
        <f>X26*(N26*(1-M26))</f>
        <v>245677.12680271358</v>
      </c>
      <c r="Z26" s="70">
        <f t="shared" si="13"/>
        <v>-220347.73782195893</v>
      </c>
      <c r="AA26" s="70">
        <f>Y26+U26+N26*R26*(-1)</f>
        <v>-216746.20302291869</v>
      </c>
      <c r="AB26" s="72">
        <f t="shared" si="14"/>
        <v>1.6523682105321312E-2</v>
      </c>
      <c r="AC26" s="72">
        <f t="shared" si="15"/>
        <v>-1.6344777734683524E-2</v>
      </c>
      <c r="AD26" s="67">
        <f t="shared" si="16"/>
        <v>-3601.5347990400492</v>
      </c>
      <c r="AE26" s="73">
        <f t="shared" si="17"/>
        <v>1.8781065591610968E-10</v>
      </c>
      <c r="AF26" s="1">
        <v>1</v>
      </c>
    </row>
    <row r="27" spans="2:32" x14ac:dyDescent="0.2">
      <c r="B27" s="44" t="s">
        <v>12</v>
      </c>
      <c r="C27" s="47"/>
      <c r="D27" s="47"/>
      <c r="E27" s="48">
        <f>(C25-C24)/C24</f>
        <v>-3.1577692163074239E-2</v>
      </c>
      <c r="I27" s="56">
        <f t="shared" si="0"/>
        <v>7.2489999999999997</v>
      </c>
      <c r="J27" s="57">
        <f t="shared" si="1"/>
        <v>7.2653999999999996</v>
      </c>
      <c r="K27" s="56">
        <f t="shared" si="2"/>
        <v>7.2350000000000003</v>
      </c>
      <c r="L27" s="58">
        <f t="shared" si="3"/>
        <v>7.2501999999999995</v>
      </c>
      <c r="M27" s="59">
        <f t="shared" si="4"/>
        <v>2.0964938898238028E-3</v>
      </c>
      <c r="N27" s="69">
        <v>7.36</v>
      </c>
      <c r="O27" s="61">
        <f t="shared" si="5"/>
        <v>2.3E-2</v>
      </c>
      <c r="P27" s="68">
        <v>3</v>
      </c>
      <c r="Q27" s="62">
        <f t="shared" si="6"/>
        <v>1.3726E-2</v>
      </c>
      <c r="R27" s="63">
        <f t="shared" si="7"/>
        <v>30000</v>
      </c>
      <c r="S27" s="63">
        <v>33477.298116489023</v>
      </c>
      <c r="T27" s="104">
        <f t="shared" si="8"/>
        <v>1.1159099372163008</v>
      </c>
      <c r="U27" s="64">
        <f t="shared" si="9"/>
        <v>-243225.96173553934</v>
      </c>
      <c r="V27" s="65">
        <f t="shared" si="10"/>
        <v>33477.298116489023</v>
      </c>
      <c r="W27" s="71">
        <f t="shared" si="11"/>
        <v>190.85612837555615</v>
      </c>
      <c r="X27" s="71">
        <f t="shared" si="12"/>
        <v>33668.154244864578</v>
      </c>
      <c r="Y27" s="70">
        <f>X27*(N27*(1-M27))</f>
        <v>247278.10905593511</v>
      </c>
      <c r="Z27" s="70">
        <f t="shared" si="13"/>
        <v>-220048.75853047729</v>
      </c>
      <c r="AA27" s="70">
        <f>Y27+U27+N27*R27*(-1)</f>
        <v>-216747.85267960423</v>
      </c>
      <c r="AB27" s="72">
        <f t="shared" si="14"/>
        <v>1.5144409809384678E-2</v>
      </c>
      <c r="AC27" s="72">
        <f t="shared" si="15"/>
        <v>-1.5000792882982264E-2</v>
      </c>
      <c r="AD27" s="67">
        <f t="shared" si="16"/>
        <v>-3300.9058508731214</v>
      </c>
      <c r="AE27" s="73">
        <f t="shared" si="17"/>
        <v>-5.4569682106375694E-11</v>
      </c>
      <c r="AF27" s="1">
        <v>1</v>
      </c>
    </row>
    <row r="28" spans="2:32" x14ac:dyDescent="0.2">
      <c r="B28" s="23"/>
      <c r="I28" s="56">
        <f t="shared" si="0"/>
        <v>7.2489999999999997</v>
      </c>
      <c r="J28" s="57">
        <f t="shared" si="1"/>
        <v>7.2653999999999996</v>
      </c>
      <c r="K28" s="56">
        <f t="shared" si="2"/>
        <v>7.2350000000000003</v>
      </c>
      <c r="L28" s="58">
        <f t="shared" si="3"/>
        <v>7.2501999999999995</v>
      </c>
      <c r="M28" s="59">
        <f t="shared" si="4"/>
        <v>2.0964938898238028E-3</v>
      </c>
      <c r="N28" s="69">
        <v>7.35</v>
      </c>
      <c r="O28" s="61">
        <f t="shared" si="5"/>
        <v>2.3E-2</v>
      </c>
      <c r="P28" s="68">
        <v>3</v>
      </c>
      <c r="Q28" s="62">
        <f t="shared" si="6"/>
        <v>1.3726E-2</v>
      </c>
      <c r="R28" s="63">
        <f t="shared" si="7"/>
        <v>30000</v>
      </c>
      <c r="S28" s="63">
        <v>33786.525735808464</v>
      </c>
      <c r="T28" s="104">
        <f t="shared" si="8"/>
        <v>1.1262175245269488</v>
      </c>
      <c r="U28" s="64">
        <f t="shared" si="9"/>
        <v>-245472.6240809428</v>
      </c>
      <c r="V28" s="65">
        <f t="shared" si="10"/>
        <v>33786.525735808464</v>
      </c>
      <c r="W28" s="71">
        <f t="shared" si="11"/>
        <v>192.61905398576332</v>
      </c>
      <c r="X28" s="71">
        <f t="shared" si="12"/>
        <v>33979.144789794227</v>
      </c>
      <c r="Y28" s="70">
        <f>X28*(N28*(1-M28))</f>
        <v>249223.12174465324</v>
      </c>
      <c r="Z28" s="70">
        <f t="shared" si="13"/>
        <v>-219749.77923899566</v>
      </c>
      <c r="AA28" s="70">
        <f>Y28+U28+N28*R28*(-1)</f>
        <v>-216749.50233628956</v>
      </c>
      <c r="AB28" s="72">
        <f t="shared" si="14"/>
        <v>1.3765137513447922E-2</v>
      </c>
      <c r="AC28" s="72">
        <f t="shared" si="15"/>
        <v>-1.3653150929644651E-2</v>
      </c>
      <c r="AD28" s="67">
        <f t="shared" si="16"/>
        <v>-3000.2769027061404</v>
      </c>
      <c r="AE28" s="73">
        <f t="shared" si="17"/>
        <v>-4.0017766878008842E-11</v>
      </c>
      <c r="AF28" s="1">
        <v>1</v>
      </c>
    </row>
    <row r="29" spans="2:32" x14ac:dyDescent="0.2">
      <c r="B29" s="29" t="s">
        <v>31</v>
      </c>
      <c r="C29" s="31">
        <f>D15*(C7*(1+C8)-C9*(1+C8))</f>
        <v>-7509.7111252103768</v>
      </c>
      <c r="D29" s="30"/>
      <c r="E29" s="30"/>
      <c r="I29" s="56">
        <f t="shared" si="0"/>
        <v>7.2489999999999997</v>
      </c>
      <c r="J29" s="57">
        <f t="shared" si="1"/>
        <v>7.2653999999999996</v>
      </c>
      <c r="K29" s="56">
        <f t="shared" si="2"/>
        <v>7.2350000000000003</v>
      </c>
      <c r="L29" s="58">
        <f t="shared" si="3"/>
        <v>7.2501999999999995</v>
      </c>
      <c r="M29" s="59">
        <f t="shared" si="4"/>
        <v>2.0964938898238028E-3</v>
      </c>
      <c r="N29" s="69">
        <v>7.3400000000000096</v>
      </c>
      <c r="O29" s="61">
        <f t="shared" si="5"/>
        <v>2.3E-2</v>
      </c>
      <c r="P29" s="68">
        <v>3</v>
      </c>
      <c r="Q29" s="62">
        <f t="shared" si="6"/>
        <v>1.3726E-2</v>
      </c>
      <c r="R29" s="63">
        <f t="shared" si="7"/>
        <v>30000</v>
      </c>
      <c r="S29" s="63">
        <v>34157.224917849526</v>
      </c>
      <c r="T29" s="104">
        <f t="shared" si="8"/>
        <v>1.1385741639283176</v>
      </c>
      <c r="U29" s="64">
        <f t="shared" si="9"/>
        <v>-248165.90191814394</v>
      </c>
      <c r="V29" s="65">
        <f t="shared" si="10"/>
        <v>34157.224917849526</v>
      </c>
      <c r="W29" s="71">
        <f t="shared" si="11"/>
        <v>194.73243274261989</v>
      </c>
      <c r="X29" s="71">
        <f t="shared" si="12"/>
        <v>34351.957350592143</v>
      </c>
      <c r="Y29" s="70">
        <f>X29*(N29*(1-M29))</f>
        <v>251614.74992516937</v>
      </c>
      <c r="Z29" s="70">
        <f t="shared" si="13"/>
        <v>-219450.79994751432</v>
      </c>
      <c r="AA29" s="70">
        <f>Y29+U29+N29*R29*(-1)</f>
        <v>-216751.15199297486</v>
      </c>
      <c r="AB29" s="72">
        <f t="shared" si="14"/>
        <v>1.2385865217512634E-2</v>
      </c>
      <c r="AC29" s="72">
        <f t="shared" si="15"/>
        <v>-1.2301836927389303E-2</v>
      </c>
      <c r="AD29" s="67">
        <f t="shared" si="16"/>
        <v>-2699.6479545395059</v>
      </c>
      <c r="AE29" s="73">
        <f t="shared" si="17"/>
        <v>-5.184119800105691E-11</v>
      </c>
      <c r="AF29" s="1">
        <v>1</v>
      </c>
    </row>
    <row r="30" spans="2:32" ht="17" thickBot="1" x14ac:dyDescent="0.25">
      <c r="B30" s="32" t="s">
        <v>32</v>
      </c>
      <c r="C30" s="34">
        <f>C29+(C25-C24)</f>
        <v>-428.90410305473597</v>
      </c>
      <c r="D30" s="33"/>
      <c r="E30" s="33"/>
      <c r="I30" s="56">
        <f t="shared" si="0"/>
        <v>7.2489999999999997</v>
      </c>
      <c r="J30" s="57">
        <f t="shared" si="1"/>
        <v>7.2653999999999996</v>
      </c>
      <c r="K30" s="56">
        <f t="shared" si="2"/>
        <v>7.2350000000000003</v>
      </c>
      <c r="L30" s="58">
        <f t="shared" si="3"/>
        <v>7.2501999999999995</v>
      </c>
      <c r="M30" s="59">
        <f t="shared" si="4"/>
        <v>2.0964938898238028E-3</v>
      </c>
      <c r="N30" s="69">
        <v>7.3300000000000098</v>
      </c>
      <c r="O30" s="61">
        <f t="shared" si="5"/>
        <v>2.3E-2</v>
      </c>
      <c r="P30" s="68">
        <v>3</v>
      </c>
      <c r="Q30" s="62">
        <f t="shared" si="6"/>
        <v>1.3726E-2</v>
      </c>
      <c r="R30" s="63">
        <f t="shared" si="7"/>
        <v>30000</v>
      </c>
      <c r="S30" s="63">
        <v>34609.74860931361</v>
      </c>
      <c r="T30" s="104">
        <f t="shared" si="8"/>
        <v>1.1536582869771204</v>
      </c>
      <c r="U30" s="64">
        <f t="shared" si="9"/>
        <v>-251453.66754610708</v>
      </c>
      <c r="V30" s="65">
        <f t="shared" si="10"/>
        <v>34609.74860931361</v>
      </c>
      <c r="W30" s="71">
        <f t="shared" si="11"/>
        <v>197.31229804269651</v>
      </c>
      <c r="X30" s="71">
        <f t="shared" si="12"/>
        <v>34807.06090735631</v>
      </c>
      <c r="Y30" s="70">
        <f>X30*(N30*(1-M30))</f>
        <v>254600.86589644718</v>
      </c>
      <c r="Z30" s="70">
        <f t="shared" si="13"/>
        <v>-219151.82065603271</v>
      </c>
      <c r="AA30" s="70">
        <f>Y30+U30+N30*R30*(-1)</f>
        <v>-216752.80164966019</v>
      </c>
      <c r="AB30" s="72">
        <f t="shared" si="14"/>
        <v>1.1006592921576E-2</v>
      </c>
      <c r="AC30" s="72">
        <f t="shared" si="15"/>
        <v>-1.094683584736387E-2</v>
      </c>
      <c r="AD30" s="67">
        <f t="shared" si="16"/>
        <v>-2399.0190063725513</v>
      </c>
      <c r="AE30" s="73">
        <f t="shared" si="17"/>
        <v>-3.4560798667371273E-11</v>
      </c>
      <c r="AF30" s="1">
        <v>1</v>
      </c>
    </row>
    <row r="31" spans="2:32" x14ac:dyDescent="0.2">
      <c r="I31" s="56">
        <f t="shared" si="0"/>
        <v>7.2489999999999997</v>
      </c>
      <c r="J31" s="57">
        <f t="shared" si="1"/>
        <v>7.2653999999999996</v>
      </c>
      <c r="K31" s="56">
        <f t="shared" si="2"/>
        <v>7.2350000000000003</v>
      </c>
      <c r="L31" s="58">
        <f t="shared" si="3"/>
        <v>7.2501999999999995</v>
      </c>
      <c r="M31" s="59">
        <f t="shared" si="4"/>
        <v>2.0964938898238028E-3</v>
      </c>
      <c r="N31" s="69">
        <v>7.3200000000000101</v>
      </c>
      <c r="O31" s="61">
        <f t="shared" si="5"/>
        <v>2.3E-2</v>
      </c>
      <c r="P31" s="68">
        <v>3</v>
      </c>
      <c r="Q31" s="62">
        <f t="shared" si="6"/>
        <v>1.3726E-2</v>
      </c>
      <c r="R31" s="63">
        <f t="shared" si="7"/>
        <v>30000</v>
      </c>
      <c r="S31" s="63">
        <v>35174.549428792758</v>
      </c>
      <c r="T31" s="104">
        <f t="shared" si="8"/>
        <v>1.1724849809597586</v>
      </c>
      <c r="U31" s="64">
        <f t="shared" si="9"/>
        <v>-255557.1714199509</v>
      </c>
      <c r="V31" s="65">
        <f>S31</f>
        <v>35174.549428792758</v>
      </c>
      <c r="W31" s="71">
        <f t="shared" si="11"/>
        <v>200.53226213101811</v>
      </c>
      <c r="X31" s="71">
        <f t="shared" si="12"/>
        <v>35375.081690923776</v>
      </c>
      <c r="Y31" s="70">
        <f>X31*(N31*(1-M31))</f>
        <v>258402.72011360567</v>
      </c>
      <c r="Z31" s="70">
        <f t="shared" si="13"/>
        <v>-218852.84136455107</v>
      </c>
      <c r="AA31" s="70">
        <f>Y31+U31+N31*R31*(-1)</f>
        <v>-216754.45130634552</v>
      </c>
      <c r="AB31" s="72">
        <f t="shared" si="14"/>
        <v>9.6273206256393649E-3</v>
      </c>
      <c r="AC31" s="72">
        <f t="shared" si="15"/>
        <v>-9.5881325785950669E-3</v>
      </c>
      <c r="AD31" s="67">
        <f t="shared" si="16"/>
        <v>-2098.3900582056235</v>
      </c>
      <c r="AE31" s="73">
        <f t="shared" si="17"/>
        <v>-7.3214323492720723E-11</v>
      </c>
      <c r="AF31" s="1">
        <v>1</v>
      </c>
    </row>
    <row r="32" spans="2:32" x14ac:dyDescent="0.2">
      <c r="B32" s="100"/>
      <c r="I32" s="56">
        <f t="shared" si="0"/>
        <v>7.2489999999999997</v>
      </c>
      <c r="J32" s="57">
        <f t="shared" si="1"/>
        <v>7.2653999999999996</v>
      </c>
      <c r="K32" s="56">
        <f t="shared" si="2"/>
        <v>7.2350000000000003</v>
      </c>
      <c r="L32" s="58">
        <f t="shared" si="3"/>
        <v>7.2501999999999995</v>
      </c>
      <c r="M32" s="59">
        <f t="shared" si="4"/>
        <v>2.0964938898238028E-3</v>
      </c>
      <c r="N32" s="69">
        <v>7.3100000000000103</v>
      </c>
      <c r="O32" s="61">
        <f t="shared" si="5"/>
        <v>2.3E-2</v>
      </c>
      <c r="P32" s="68">
        <v>3</v>
      </c>
      <c r="Q32" s="62">
        <f t="shared" si="6"/>
        <v>1.3726E-2</v>
      </c>
      <c r="R32" s="63">
        <f t="shared" si="7"/>
        <v>30000</v>
      </c>
      <c r="S32" s="63">
        <v>35899.331563204374</v>
      </c>
      <c r="T32" s="104">
        <f t="shared" si="8"/>
        <v>1.1966443854401458</v>
      </c>
      <c r="U32" s="64">
        <f t="shared" si="9"/>
        <v>-260823.00353930503</v>
      </c>
      <c r="V32" s="65">
        <f t="shared" si="10"/>
        <v>35899.331563204374</v>
      </c>
      <c r="W32" s="71">
        <f t="shared" si="11"/>
        <v>204.66428950097603</v>
      </c>
      <c r="X32" s="71">
        <f t="shared" si="12"/>
        <v>36103.995852705353</v>
      </c>
      <c r="Y32" s="70">
        <f>X32*(N32*(1-M32))</f>
        <v>263366.90257627453</v>
      </c>
      <c r="Z32" s="70">
        <f t="shared" si="13"/>
        <v>-218553.86207306947</v>
      </c>
      <c r="AA32" s="70">
        <f>Y32+U32+N32*R32*(-1)</f>
        <v>-216756.10096303083</v>
      </c>
      <c r="AB32" s="72">
        <f t="shared" si="14"/>
        <v>8.2480483297027313E-3</v>
      </c>
      <c r="AC32" s="72">
        <f t="shared" si="15"/>
        <v>-8.2257119274222381E-3</v>
      </c>
      <c r="AD32" s="67">
        <f t="shared" si="16"/>
        <v>-1797.7611100386691</v>
      </c>
      <c r="AE32" s="73">
        <f t="shared" si="17"/>
        <v>-2.7057467377744615E-11</v>
      </c>
      <c r="AF32" s="1">
        <v>1</v>
      </c>
    </row>
    <row r="33" spans="2:32" x14ac:dyDescent="0.2">
      <c r="B33" s="101"/>
      <c r="C33" s="2">
        <f>C25-C24</f>
        <v>7080.8070221556409</v>
      </c>
      <c r="I33" s="56">
        <f t="shared" si="0"/>
        <v>7.2489999999999997</v>
      </c>
      <c r="J33" s="57">
        <f t="shared" si="1"/>
        <v>7.2653999999999996</v>
      </c>
      <c r="K33" s="56">
        <f t="shared" si="2"/>
        <v>7.2350000000000003</v>
      </c>
      <c r="L33" s="58">
        <f t="shared" si="3"/>
        <v>7.2501999999999995</v>
      </c>
      <c r="M33" s="59">
        <f t="shared" si="4"/>
        <v>2.0964938898238028E-3</v>
      </c>
      <c r="N33" s="69">
        <v>7.3000000000000096</v>
      </c>
      <c r="O33" s="61">
        <f t="shared" si="5"/>
        <v>2.3E-2</v>
      </c>
      <c r="P33" s="68">
        <v>3</v>
      </c>
      <c r="Q33" s="62">
        <f t="shared" si="6"/>
        <v>1.3726E-2</v>
      </c>
      <c r="R33" s="63">
        <f t="shared" si="7"/>
        <v>30000</v>
      </c>
      <c r="S33" s="63">
        <v>36863.282774482359</v>
      </c>
      <c r="T33" s="104">
        <f t="shared" si="8"/>
        <v>1.2287760924827453</v>
      </c>
      <c r="U33" s="64">
        <f t="shared" si="9"/>
        <v>-267826.49466972414</v>
      </c>
      <c r="V33" s="65">
        <f t="shared" si="10"/>
        <v>36863.282774482359</v>
      </c>
      <c r="W33" s="71">
        <f t="shared" si="11"/>
        <v>210.15983443674932</v>
      </c>
      <c r="X33" s="71">
        <f t="shared" si="12"/>
        <v>37073.442608919111</v>
      </c>
      <c r="Y33" s="70">
        <f>X33*(N33*(1-M33))</f>
        <v>270068.74405000824</v>
      </c>
      <c r="Z33" s="70">
        <f t="shared" si="13"/>
        <v>-218254.88278158783</v>
      </c>
      <c r="AA33" s="70">
        <f>Y33+U33+N33*R33*(-1)</f>
        <v>-216757.75061971619</v>
      </c>
      <c r="AB33" s="72">
        <f t="shared" si="14"/>
        <v>6.8687760337659736E-3</v>
      </c>
      <c r="AC33" s="72">
        <f t="shared" si="15"/>
        <v>-6.859558616930727E-3</v>
      </c>
      <c r="AD33" s="67">
        <f t="shared" si="16"/>
        <v>-1497.1321618717147</v>
      </c>
      <c r="AE33" s="73">
        <f t="shared" si="17"/>
        <v>-6.8212102632969618E-11</v>
      </c>
      <c r="AF33" s="1">
        <v>1</v>
      </c>
    </row>
    <row r="34" spans="2:32" x14ac:dyDescent="0.2">
      <c r="I34" s="56">
        <f t="shared" si="0"/>
        <v>7.2489999999999997</v>
      </c>
      <c r="J34" s="57">
        <f t="shared" si="1"/>
        <v>7.2653999999999996</v>
      </c>
      <c r="K34" s="56">
        <f t="shared" si="2"/>
        <v>7.2350000000000003</v>
      </c>
      <c r="L34" s="58">
        <f t="shared" si="3"/>
        <v>7.2501999999999995</v>
      </c>
      <c r="M34" s="59">
        <f t="shared" si="4"/>
        <v>2.0964938898238028E-3</v>
      </c>
      <c r="N34" s="69">
        <v>7.2900000000000098</v>
      </c>
      <c r="O34" s="61">
        <f t="shared" si="5"/>
        <v>2.3E-2</v>
      </c>
      <c r="P34" s="68">
        <v>3</v>
      </c>
      <c r="Q34" s="62">
        <f t="shared" si="6"/>
        <v>1.3726E-2</v>
      </c>
      <c r="R34" s="63">
        <f t="shared" si="7"/>
        <v>30000</v>
      </c>
      <c r="S34" s="63">
        <v>38208.179519707839</v>
      </c>
      <c r="T34" s="104">
        <f t="shared" si="8"/>
        <v>1.2736059839902614</v>
      </c>
      <c r="U34" s="64">
        <f>S34*J34*(-1)</f>
        <v>-277597.70748248533</v>
      </c>
      <c r="V34" s="65">
        <f t="shared" si="10"/>
        <v>38208.179519707839</v>
      </c>
      <c r="W34" s="71">
        <f t="shared" si="11"/>
        <v>217.82717320959355</v>
      </c>
      <c r="X34" s="71">
        <f t="shared" si="12"/>
        <v>38426.006692917435</v>
      </c>
      <c r="Y34" s="70">
        <f>X34*(N34*(1-M34))</f>
        <v>279538.30720608408</v>
      </c>
      <c r="Z34" s="70">
        <f t="shared" si="13"/>
        <v>-217955.9034901062</v>
      </c>
      <c r="AA34" s="70">
        <f>Y34+U34+N34*R34*(-1)</f>
        <v>-216759.40027640155</v>
      </c>
      <c r="AB34" s="72">
        <f t="shared" si="14"/>
        <v>5.489503737829339E-3</v>
      </c>
      <c r="AC34" s="72">
        <f t="shared" si="15"/>
        <v>-5.4896572863829983E-3</v>
      </c>
      <c r="AD34" s="67">
        <f t="shared" si="16"/>
        <v>-1196.5032137047604</v>
      </c>
      <c r="AE34" s="73">
        <f t="shared" si="17"/>
        <v>-1.0936673788819462E-10</v>
      </c>
      <c r="AF34" s="1">
        <v>1</v>
      </c>
    </row>
    <row r="35" spans="2:32" x14ac:dyDescent="0.2">
      <c r="I35" s="56">
        <f t="shared" si="0"/>
        <v>7.2489999999999997</v>
      </c>
      <c r="J35" s="57">
        <f t="shared" si="1"/>
        <v>7.2653999999999996</v>
      </c>
      <c r="K35" s="56">
        <f t="shared" si="2"/>
        <v>7.2350000000000003</v>
      </c>
      <c r="L35" s="58">
        <f t="shared" si="3"/>
        <v>7.2501999999999995</v>
      </c>
      <c r="M35" s="59">
        <f t="shared" si="4"/>
        <v>2.0964938898238028E-3</v>
      </c>
      <c r="N35" s="69">
        <v>7.28000000000001</v>
      </c>
      <c r="O35" s="61">
        <f t="shared" si="5"/>
        <v>2.3E-2</v>
      </c>
      <c r="P35" s="68">
        <v>3</v>
      </c>
      <c r="Q35" s="62">
        <f t="shared" si="6"/>
        <v>1.3726E-2</v>
      </c>
      <c r="R35" s="63">
        <f t="shared" si="7"/>
        <v>30000</v>
      </c>
      <c r="S35" s="63">
        <v>40215.450779042047</v>
      </c>
      <c r="T35" s="104">
        <f t="shared" si="8"/>
        <v>1.3405150259680683</v>
      </c>
      <c r="U35" s="64">
        <f t="shared" si="9"/>
        <v>-292181.33609005209</v>
      </c>
      <c r="V35" s="65">
        <f t="shared" si="10"/>
        <v>40215.450779042047</v>
      </c>
      <c r="W35" s="71">
        <f t="shared" si="11"/>
        <v>229.2707496841048</v>
      </c>
      <c r="X35" s="71">
        <f t="shared" si="12"/>
        <v>40444.72152872615</v>
      </c>
      <c r="Y35" s="70">
        <f>X35*(N35*(1-M35))</f>
        <v>293820.28615696559</v>
      </c>
      <c r="Z35" s="70">
        <f t="shared" si="13"/>
        <v>-217656.92419862456</v>
      </c>
      <c r="AA35" s="70">
        <f>Y35+U35+N35*R35*(-1)</f>
        <v>-216761.04993308679</v>
      </c>
      <c r="AB35" s="72">
        <f t="shared" si="14"/>
        <v>4.1102314418927045E-3</v>
      </c>
      <c r="AC35" s="72">
        <f t="shared" si="15"/>
        <v>-4.1159924906419912E-3</v>
      </c>
      <c r="AD35" s="67">
        <f t="shared" si="16"/>
        <v>-895.87426553783268</v>
      </c>
      <c r="AE35" s="73">
        <f t="shared" si="17"/>
        <v>-6.0822458181064576E-11</v>
      </c>
      <c r="AF35" s="1">
        <v>1</v>
      </c>
    </row>
    <row r="36" spans="2:32" x14ac:dyDescent="0.2">
      <c r="I36" s="56">
        <f t="shared" si="0"/>
        <v>7.2489999999999997</v>
      </c>
      <c r="J36" s="57">
        <f t="shared" si="1"/>
        <v>7.2653999999999996</v>
      </c>
      <c r="K36" s="56">
        <f t="shared" si="2"/>
        <v>7.2350000000000003</v>
      </c>
      <c r="L36" s="58">
        <f t="shared" si="3"/>
        <v>7.2501999999999995</v>
      </c>
      <c r="M36" s="59">
        <f t="shared" si="4"/>
        <v>2.0964938898238028E-3</v>
      </c>
      <c r="N36" s="69">
        <v>7.2700000000000102</v>
      </c>
      <c r="O36" s="61">
        <f t="shared" si="5"/>
        <v>2.3E-2</v>
      </c>
      <c r="P36" s="68">
        <v>3</v>
      </c>
      <c r="Q36" s="62">
        <f t="shared" si="6"/>
        <v>1.3726E-2</v>
      </c>
      <c r="R36" s="63">
        <f t="shared" si="7"/>
        <v>30000</v>
      </c>
      <c r="S36" s="63">
        <v>43534.306215681114</v>
      </c>
      <c r="T36" s="104">
        <f t="shared" si="8"/>
        <v>1.4511435405227038</v>
      </c>
      <c r="U36" s="64">
        <f t="shared" si="9"/>
        <v>-316294.14837940957</v>
      </c>
      <c r="V36" s="65">
        <f t="shared" si="10"/>
        <v>43534.306215681114</v>
      </c>
      <c r="W36" s="71">
        <f t="shared" si="11"/>
        <v>248.19174794002765</v>
      </c>
      <c r="X36" s="71">
        <f t="shared" si="12"/>
        <v>43782.497963621143</v>
      </c>
      <c r="Y36" s="70">
        <f>X36*(N36*(1-M36))</f>
        <v>317631.44878963777</v>
      </c>
      <c r="Z36" s="70">
        <f t="shared" si="13"/>
        <v>-217357.94490714298</v>
      </c>
      <c r="AA36" s="70">
        <f>Y36+U36+N36*R36*(-1)</f>
        <v>-216762.69958977212</v>
      </c>
      <c r="AB36" s="72">
        <f t="shared" si="14"/>
        <v>2.73095914595607E-3</v>
      </c>
      <c r="AC36" s="72">
        <f t="shared" si="15"/>
        <v>-2.7385486995893209E-3</v>
      </c>
      <c r="AD36" s="67">
        <f t="shared" si="16"/>
        <v>-595.2453173708783</v>
      </c>
      <c r="AE36" s="73">
        <f t="shared" si="17"/>
        <v>-1.4665602066088468E-11</v>
      </c>
      <c r="AF36" s="1">
        <v>1</v>
      </c>
    </row>
    <row r="37" spans="2:32" x14ac:dyDescent="0.2">
      <c r="I37" s="56">
        <f t="shared" si="0"/>
        <v>7.2489999999999997</v>
      </c>
      <c r="J37" s="57">
        <f t="shared" si="1"/>
        <v>7.2653999999999996</v>
      </c>
      <c r="K37" s="56">
        <f t="shared" si="2"/>
        <v>7.2350000000000003</v>
      </c>
      <c r="L37" s="58">
        <f t="shared" si="3"/>
        <v>7.2501999999999995</v>
      </c>
      <c r="M37" s="59">
        <f t="shared" si="4"/>
        <v>2.0964938898238028E-3</v>
      </c>
      <c r="N37" s="69">
        <v>7.2600000000000096</v>
      </c>
      <c r="O37" s="61">
        <f t="shared" si="5"/>
        <v>2.3E-2</v>
      </c>
      <c r="P37" s="68">
        <v>3</v>
      </c>
      <c r="Q37" s="62">
        <f t="shared" si="6"/>
        <v>1.3726E-2</v>
      </c>
      <c r="R37" s="63">
        <f t="shared" si="7"/>
        <v>30000</v>
      </c>
      <c r="S37" s="63">
        <v>50074.046126103181</v>
      </c>
      <c r="T37" s="104">
        <f t="shared" si="8"/>
        <v>1.6691348708701061</v>
      </c>
      <c r="U37" s="64">
        <f t="shared" si="9"/>
        <v>-363807.97472459002</v>
      </c>
      <c r="V37" s="65">
        <f t="shared" si="10"/>
        <v>50074.046126103181</v>
      </c>
      <c r="W37" s="71">
        <f t="shared" si="11"/>
        <v>285.47520598802032</v>
      </c>
      <c r="X37" s="71">
        <f t="shared" si="12"/>
        <v>50359.521332091201</v>
      </c>
      <c r="Y37" s="70">
        <f>X37*(N37*(1-M37))</f>
        <v>364843.62547813286</v>
      </c>
      <c r="Z37" s="70">
        <f t="shared" si="13"/>
        <v>-217058.96561566132</v>
      </c>
      <c r="AA37" s="70">
        <f>Y37+U37+N37*R37*(-1)</f>
        <v>-216764.34924645745</v>
      </c>
      <c r="AB37" s="72">
        <f t="shared" si="14"/>
        <v>1.3516868500193131E-3</v>
      </c>
      <c r="AC37" s="72">
        <f t="shared" si="15"/>
        <v>-1.3573102975416133E-3</v>
      </c>
      <c r="AD37" s="67">
        <f t="shared" si="16"/>
        <v>-294.61636920392385</v>
      </c>
      <c r="AE37" s="73">
        <f t="shared" si="17"/>
        <v>-5.5763393902452663E-11</v>
      </c>
      <c r="AF37" s="1">
        <v>1</v>
      </c>
    </row>
    <row r="38" spans="2:32" x14ac:dyDescent="0.2">
      <c r="I38" s="56">
        <f t="shared" si="0"/>
        <v>7.2489999999999997</v>
      </c>
      <c r="J38" s="57">
        <f t="shared" si="1"/>
        <v>7.2653999999999996</v>
      </c>
      <c r="K38" s="56">
        <f t="shared" si="2"/>
        <v>7.2350000000000003</v>
      </c>
      <c r="L38" s="58">
        <f t="shared" si="3"/>
        <v>7.2501999999999995</v>
      </c>
      <c r="M38" s="59">
        <f t="shared" si="4"/>
        <v>2.0964938898238028E-3</v>
      </c>
      <c r="N38" s="69">
        <v>7.2500000000000098</v>
      </c>
      <c r="O38" s="61">
        <f t="shared" si="5"/>
        <v>2.3E-2</v>
      </c>
      <c r="P38" s="68">
        <v>3</v>
      </c>
      <c r="Q38" s="62">
        <f t="shared" si="6"/>
        <v>1.3726E-2</v>
      </c>
      <c r="R38" s="63">
        <f t="shared" si="7"/>
        <v>30000</v>
      </c>
      <c r="S38" s="63">
        <v>68943.207714567048</v>
      </c>
      <c r="T38" s="104">
        <f t="shared" si="8"/>
        <v>2.2981069238189016</v>
      </c>
      <c r="U38" s="64">
        <f t="shared" si="9"/>
        <v>-500899.9813294154</v>
      </c>
      <c r="V38" s="65">
        <f t="shared" si="10"/>
        <v>68943.207714567048</v>
      </c>
      <c r="W38" s="71">
        <f t="shared" si="11"/>
        <v>393.04945268904601</v>
      </c>
      <c r="X38" s="71">
        <f t="shared" si="12"/>
        <v>69336.257167256088</v>
      </c>
      <c r="Y38" s="70">
        <f>X38*(N38*(1-M38))</f>
        <v>501633.98242627294</v>
      </c>
      <c r="Z38" s="70">
        <f t="shared" si="13"/>
        <v>-216759.98632417968</v>
      </c>
      <c r="AA38" s="70">
        <f>Y38+U38+N38*R38*(-1)</f>
        <v>-216765.99890314275</v>
      </c>
      <c r="AB38" s="72">
        <f t="shared" si="14"/>
        <v>-2.7585445917321444E-5</v>
      </c>
      <c r="AC38" s="72">
        <f t="shared" si="15"/>
        <v>2.7738417339060972E-5</v>
      </c>
      <c r="AD38" s="67">
        <f t="shared" si="16"/>
        <v>6.0125789630305349</v>
      </c>
      <c r="AE38" s="73">
        <f t="shared" si="17"/>
        <v>-3.8710368244210258E-11</v>
      </c>
      <c r="AF38" s="1">
        <v>1</v>
      </c>
    </row>
    <row r="39" spans="2:32" x14ac:dyDescent="0.2">
      <c r="I39" s="56">
        <f t="shared" si="0"/>
        <v>7.2489999999999997</v>
      </c>
      <c r="J39" s="57">
        <f t="shared" si="1"/>
        <v>7.2653999999999996</v>
      </c>
      <c r="K39" s="56">
        <f t="shared" si="2"/>
        <v>7.2350000000000003</v>
      </c>
      <c r="L39" s="58">
        <f t="shared" si="3"/>
        <v>7.2501999999999995</v>
      </c>
      <c r="M39" s="59">
        <f t="shared" si="4"/>
        <v>2.0964938898238028E-3</v>
      </c>
      <c r="N39" s="69">
        <v>7.24000000000001</v>
      </c>
      <c r="O39" s="61">
        <f t="shared" si="5"/>
        <v>2.3E-2</v>
      </c>
      <c r="P39" s="68">
        <v>3</v>
      </c>
      <c r="Q39" s="62">
        <f t="shared" si="6"/>
        <v>1.3726E-2</v>
      </c>
      <c r="R39" s="63">
        <f t="shared" si="7"/>
        <v>30000</v>
      </c>
      <c r="S39" s="63">
        <v>30000</v>
      </c>
      <c r="T39" s="104">
        <f t="shared" si="8"/>
        <v>1</v>
      </c>
      <c r="U39" s="64">
        <f t="shared" si="9"/>
        <v>-217962</v>
      </c>
      <c r="V39" s="65">
        <f t="shared" si="10"/>
        <v>30000</v>
      </c>
      <c r="W39" s="71">
        <f t="shared" si="11"/>
        <v>171.03183869090489</v>
      </c>
      <c r="X39" s="71">
        <f t="shared" si="12"/>
        <v>30171.031838690906</v>
      </c>
      <c r="Y39" s="70">
        <f>X39*(N39*(1-M39))</f>
        <v>217980.31601269011</v>
      </c>
      <c r="Z39" s="70">
        <f t="shared" si="13"/>
        <v>-216461.00703269805</v>
      </c>
      <c r="AA39" s="70">
        <f>Y39+U39+N39*R39*(-1)</f>
        <v>-217181.68398731019</v>
      </c>
      <c r="AB39" s="72">
        <f t="shared" si="14"/>
        <v>-1.4068577418539559E-3</v>
      </c>
      <c r="AC39" s="72">
        <f t="shared" si="15"/>
        <v>3.3293615533409779E-3</v>
      </c>
      <c r="AD39" s="67">
        <f t="shared" si="16"/>
        <v>306.64152712995826</v>
      </c>
      <c r="AE39" s="73">
        <f>AD39+(AA39-Z39)</f>
        <v>-414.03542748217762</v>
      </c>
      <c r="AF39" s="1">
        <v>1</v>
      </c>
    </row>
    <row r="40" spans="2:32" x14ac:dyDescent="0.2">
      <c r="I40" s="56">
        <f t="shared" si="0"/>
        <v>7.2489999999999997</v>
      </c>
      <c r="J40" s="57">
        <f t="shared" si="1"/>
        <v>7.2653999999999996</v>
      </c>
      <c r="K40" s="56">
        <f t="shared" si="2"/>
        <v>7.2350000000000003</v>
      </c>
      <c r="L40" s="58">
        <f t="shared" si="3"/>
        <v>7.2501999999999995</v>
      </c>
      <c r="M40" s="59">
        <f t="shared" si="4"/>
        <v>2.0964938898238028E-3</v>
      </c>
      <c r="N40" s="69">
        <v>7.2300000000000102</v>
      </c>
      <c r="O40" s="61">
        <f t="shared" si="5"/>
        <v>2.3E-2</v>
      </c>
      <c r="P40" s="68">
        <v>3</v>
      </c>
      <c r="Q40" s="62">
        <f t="shared" si="6"/>
        <v>1.3726E-2</v>
      </c>
      <c r="R40" s="63">
        <f t="shared" si="7"/>
        <v>30000</v>
      </c>
      <c r="S40" s="63">
        <v>30000</v>
      </c>
      <c r="T40" s="104">
        <f t="shared" si="8"/>
        <v>1</v>
      </c>
      <c r="U40" s="64">
        <f t="shared" si="9"/>
        <v>-217962</v>
      </c>
      <c r="V40" s="65">
        <f t="shared" si="10"/>
        <v>30000</v>
      </c>
      <c r="W40" s="71">
        <f t="shared" si="11"/>
        <v>171.03183869090489</v>
      </c>
      <c r="X40" s="71">
        <f t="shared" si="12"/>
        <v>30171.031838690906</v>
      </c>
      <c r="Y40" s="70">
        <f>X40*(N40*(1-M40))</f>
        <v>217679.23822814223</v>
      </c>
      <c r="Z40" s="70">
        <f t="shared" si="13"/>
        <v>-216162.02774121647</v>
      </c>
      <c r="AA40" s="70">
        <f>Y40+U40+N40*R40*(-1)</f>
        <v>-217182.76177185809</v>
      </c>
      <c r="AB40" s="72">
        <f t="shared" si="14"/>
        <v>-2.7861300377905905E-3</v>
      </c>
      <c r="AC40" s="72">
        <f t="shared" si="15"/>
        <v>4.7220783470055686E-3</v>
      </c>
      <c r="AD40" s="67">
        <f t="shared" si="16"/>
        <v>607.27047529691265</v>
      </c>
      <c r="AE40" s="73">
        <f t="shared" si="17"/>
        <v>-413.46355534470274</v>
      </c>
      <c r="AF40" s="1">
        <v>1</v>
      </c>
    </row>
    <row r="41" spans="2:32" x14ac:dyDescent="0.2">
      <c r="I41" s="56">
        <f t="shared" si="0"/>
        <v>7.2489999999999997</v>
      </c>
      <c r="J41" s="57">
        <f t="shared" si="1"/>
        <v>7.2653999999999996</v>
      </c>
      <c r="K41" s="56">
        <f t="shared" si="2"/>
        <v>7.2350000000000003</v>
      </c>
      <c r="L41" s="58">
        <f t="shared" si="3"/>
        <v>7.2501999999999995</v>
      </c>
      <c r="M41" s="59">
        <f t="shared" si="4"/>
        <v>2.0964938898238028E-3</v>
      </c>
      <c r="N41" s="69">
        <v>7.2200000000000104</v>
      </c>
      <c r="O41" s="61">
        <f t="shared" si="5"/>
        <v>2.3E-2</v>
      </c>
      <c r="P41" s="68">
        <v>3</v>
      </c>
      <c r="Q41" s="62">
        <f t="shared" si="6"/>
        <v>1.3726E-2</v>
      </c>
      <c r="R41" s="63">
        <f t="shared" si="7"/>
        <v>30000</v>
      </c>
      <c r="S41" s="63">
        <v>30000</v>
      </c>
      <c r="T41" s="104">
        <f t="shared" si="8"/>
        <v>1</v>
      </c>
      <c r="U41" s="64">
        <f t="shared" si="9"/>
        <v>-217962</v>
      </c>
      <c r="V41" s="65">
        <f t="shared" si="10"/>
        <v>30000</v>
      </c>
      <c r="W41" s="71">
        <f t="shared" si="11"/>
        <v>171.03183869090489</v>
      </c>
      <c r="X41" s="71">
        <f t="shared" si="12"/>
        <v>30171.031838690906</v>
      </c>
      <c r="Y41" s="70">
        <f>X41*(N41*(1-M41))</f>
        <v>217378.1604435943</v>
      </c>
      <c r="Z41" s="70">
        <f t="shared" si="13"/>
        <v>-215863.04844973484</v>
      </c>
      <c r="AA41" s="70">
        <f>Y41+U41+N41*R41*(-1)</f>
        <v>-217183.83955640602</v>
      </c>
      <c r="AB41" s="72">
        <f t="shared" si="14"/>
        <v>-4.165402333727225E-3</v>
      </c>
      <c r="AC41" s="72">
        <f t="shared" si="15"/>
        <v>6.118653081927254E-3</v>
      </c>
      <c r="AD41" s="67">
        <f t="shared" si="16"/>
        <v>907.89942346384044</v>
      </c>
      <c r="AE41" s="73">
        <f t="shared" si="17"/>
        <v>-412.89168320734177</v>
      </c>
      <c r="AF41" s="1">
        <v>1</v>
      </c>
    </row>
    <row r="42" spans="2:32" x14ac:dyDescent="0.2">
      <c r="I42" s="56">
        <f t="shared" si="0"/>
        <v>7.2489999999999997</v>
      </c>
      <c r="J42" s="57">
        <f t="shared" si="1"/>
        <v>7.2653999999999996</v>
      </c>
      <c r="K42" s="56">
        <f t="shared" si="2"/>
        <v>7.2350000000000003</v>
      </c>
      <c r="L42" s="58">
        <f t="shared" si="3"/>
        <v>7.2501999999999995</v>
      </c>
      <c r="M42" s="59">
        <f t="shared" si="4"/>
        <v>2.0964938898238028E-3</v>
      </c>
      <c r="N42" s="69">
        <v>7.2100000000000097</v>
      </c>
      <c r="O42" s="61">
        <f t="shared" si="5"/>
        <v>2.3E-2</v>
      </c>
      <c r="P42" s="68">
        <v>3</v>
      </c>
      <c r="Q42" s="62">
        <f t="shared" si="6"/>
        <v>1.3726E-2</v>
      </c>
      <c r="R42" s="63">
        <f t="shared" si="7"/>
        <v>30000</v>
      </c>
      <c r="S42" s="63">
        <v>30000</v>
      </c>
      <c r="T42" s="104">
        <f t="shared" si="8"/>
        <v>1</v>
      </c>
      <c r="U42" s="64">
        <f t="shared" si="9"/>
        <v>-217962</v>
      </c>
      <c r="V42" s="65">
        <f t="shared" si="10"/>
        <v>30000</v>
      </c>
      <c r="W42" s="71">
        <f t="shared" si="11"/>
        <v>171.03183869090489</v>
      </c>
      <c r="X42" s="71">
        <f t="shared" si="12"/>
        <v>30171.031838690906</v>
      </c>
      <c r="Y42" s="70">
        <f>X42*(N42*(1-M42))</f>
        <v>217077.08265904634</v>
      </c>
      <c r="Z42" s="70">
        <f t="shared" si="13"/>
        <v>-215564.06915825317</v>
      </c>
      <c r="AA42" s="70">
        <f>Y42+U42+N42*R42*(-1)</f>
        <v>-217184.91734095395</v>
      </c>
      <c r="AB42" s="72">
        <f t="shared" si="14"/>
        <v>-5.5446746296639818E-3</v>
      </c>
      <c r="AC42" s="72">
        <f t="shared" si="15"/>
        <v>7.5191018105659176E-3</v>
      </c>
      <c r="AD42" s="67">
        <f t="shared" si="16"/>
        <v>1208.5283716307949</v>
      </c>
      <c r="AE42" s="73">
        <f t="shared" si="17"/>
        <v>-412.31981106998319</v>
      </c>
      <c r="AF42" s="1">
        <v>1</v>
      </c>
    </row>
    <row r="43" spans="2:32" x14ac:dyDescent="0.2">
      <c r="I43" s="56">
        <f t="shared" si="0"/>
        <v>7.2489999999999997</v>
      </c>
      <c r="J43" s="57">
        <f t="shared" si="1"/>
        <v>7.2653999999999996</v>
      </c>
      <c r="K43" s="56">
        <f t="shared" si="2"/>
        <v>7.2350000000000003</v>
      </c>
      <c r="L43" s="58">
        <f t="shared" si="3"/>
        <v>7.2501999999999995</v>
      </c>
      <c r="M43" s="59">
        <f t="shared" si="4"/>
        <v>2.0964938898238028E-3</v>
      </c>
      <c r="N43" s="69">
        <v>7.2000000000000099</v>
      </c>
      <c r="O43" s="61">
        <f t="shared" si="5"/>
        <v>2.3E-2</v>
      </c>
      <c r="P43" s="68">
        <v>3</v>
      </c>
      <c r="Q43" s="62">
        <f t="shared" si="6"/>
        <v>1.3726E-2</v>
      </c>
      <c r="R43" s="63">
        <f t="shared" si="7"/>
        <v>30000</v>
      </c>
      <c r="S43" s="63">
        <v>30000</v>
      </c>
      <c r="T43" s="104">
        <f t="shared" si="8"/>
        <v>1</v>
      </c>
      <c r="U43" s="64">
        <f t="shared" si="9"/>
        <v>-217962</v>
      </c>
      <c r="V43" s="65">
        <f t="shared" si="10"/>
        <v>30000</v>
      </c>
      <c r="W43" s="71">
        <f t="shared" si="11"/>
        <v>171.03183869090489</v>
      </c>
      <c r="X43" s="71">
        <f t="shared" si="12"/>
        <v>30171.031838690906</v>
      </c>
      <c r="Y43" s="70">
        <f>X43*(N43*(1-M43))</f>
        <v>216776.00487449847</v>
      </c>
      <c r="Z43" s="70">
        <f t="shared" si="13"/>
        <v>-215265.08986677157</v>
      </c>
      <c r="AA43" s="70">
        <f>Y43+U43+N43*R43*(-1)</f>
        <v>-217185.99512550182</v>
      </c>
      <c r="AB43" s="72">
        <f t="shared" si="14"/>
        <v>-6.9239469256006164E-3</v>
      </c>
      <c r="AC43" s="72">
        <f t="shared" si="15"/>
        <v>8.9234406745613681E-3</v>
      </c>
      <c r="AD43" s="67">
        <f t="shared" si="16"/>
        <v>1509.1573197977493</v>
      </c>
      <c r="AE43" s="73">
        <f t="shared" si="17"/>
        <v>-411.7479389325083</v>
      </c>
      <c r="AF43" s="1">
        <v>1</v>
      </c>
    </row>
    <row r="44" spans="2:32" x14ac:dyDescent="0.2">
      <c r="I44" s="56">
        <f t="shared" si="0"/>
        <v>7.2489999999999997</v>
      </c>
      <c r="J44" s="57">
        <f t="shared" si="1"/>
        <v>7.2653999999999996</v>
      </c>
      <c r="K44" s="56">
        <f t="shared" si="2"/>
        <v>7.2350000000000003</v>
      </c>
      <c r="L44" s="58">
        <f t="shared" si="3"/>
        <v>7.2501999999999995</v>
      </c>
      <c r="M44" s="59">
        <f t="shared" si="4"/>
        <v>2.0964938898238028E-3</v>
      </c>
      <c r="N44" s="69">
        <v>7.1900000000000102</v>
      </c>
      <c r="O44" s="61">
        <f t="shared" si="5"/>
        <v>2.3E-2</v>
      </c>
      <c r="P44" s="68">
        <v>3</v>
      </c>
      <c r="Q44" s="62">
        <f t="shared" si="6"/>
        <v>1.3726E-2</v>
      </c>
      <c r="R44" s="63">
        <f t="shared" si="7"/>
        <v>30000</v>
      </c>
      <c r="S44" s="63">
        <v>30000</v>
      </c>
      <c r="T44" s="104">
        <f t="shared" si="8"/>
        <v>1</v>
      </c>
      <c r="U44" s="64">
        <f t="shared" si="9"/>
        <v>-217962</v>
      </c>
      <c r="V44" s="65">
        <f t="shared" si="10"/>
        <v>30000</v>
      </c>
      <c r="W44" s="71">
        <f t="shared" si="11"/>
        <v>171.03183869090489</v>
      </c>
      <c r="X44" s="71">
        <f t="shared" si="12"/>
        <v>30171.031838690906</v>
      </c>
      <c r="Y44" s="70">
        <f>X44*(N44*(1-M44))</f>
        <v>216474.92708995054</v>
      </c>
      <c r="Z44" s="70">
        <f t="shared" si="13"/>
        <v>-214966.11057528993</v>
      </c>
      <c r="AA44" s="70">
        <f>Y44+U44+N44*R44*(-1)</f>
        <v>-217187.07291004976</v>
      </c>
      <c r="AB44" s="72">
        <f t="shared" si="14"/>
        <v>-8.3032192215372509E-3</v>
      </c>
      <c r="AC44" s="72">
        <f t="shared" si="15"/>
        <v>1.0331685905355544E-2</v>
      </c>
      <c r="AD44" s="67">
        <f t="shared" si="16"/>
        <v>1809.7862679646771</v>
      </c>
      <c r="AE44" s="73">
        <f t="shared" si="17"/>
        <v>-411.17606679514734</v>
      </c>
      <c r="AF44" s="1">
        <v>1</v>
      </c>
    </row>
    <row r="45" spans="2:32" x14ac:dyDescent="0.2">
      <c r="I45" s="56">
        <f t="shared" si="0"/>
        <v>7.2489999999999997</v>
      </c>
      <c r="J45" s="57">
        <f t="shared" si="1"/>
        <v>7.2653999999999996</v>
      </c>
      <c r="K45" s="56">
        <f t="shared" si="2"/>
        <v>7.2350000000000003</v>
      </c>
      <c r="L45" s="58">
        <f t="shared" si="3"/>
        <v>7.2501999999999995</v>
      </c>
      <c r="M45" s="59">
        <f t="shared" si="4"/>
        <v>2.0964938898238028E-3</v>
      </c>
      <c r="N45" s="69">
        <v>7.1800000000000104</v>
      </c>
      <c r="O45" s="61">
        <f t="shared" si="5"/>
        <v>2.3E-2</v>
      </c>
      <c r="P45" s="68">
        <v>3</v>
      </c>
      <c r="Q45" s="62">
        <f t="shared" si="6"/>
        <v>1.3726E-2</v>
      </c>
      <c r="R45" s="63">
        <f t="shared" si="7"/>
        <v>30000</v>
      </c>
      <c r="S45" s="63">
        <v>30000</v>
      </c>
      <c r="T45" s="104">
        <f t="shared" si="8"/>
        <v>1</v>
      </c>
      <c r="U45" s="64">
        <f t="shared" si="9"/>
        <v>-217962</v>
      </c>
      <c r="V45" s="65">
        <f t="shared" si="10"/>
        <v>30000</v>
      </c>
      <c r="W45" s="71">
        <f t="shared" si="11"/>
        <v>171.03183869090489</v>
      </c>
      <c r="X45" s="71">
        <f t="shared" si="12"/>
        <v>30171.031838690906</v>
      </c>
      <c r="Y45" s="70">
        <f>X45*(N45*(1-M45))</f>
        <v>216173.84930540263</v>
      </c>
      <c r="Z45" s="70">
        <f t="shared" si="13"/>
        <v>-214667.13128380832</v>
      </c>
      <c r="AA45" s="70">
        <f>Y45+U45+N45*R45*(-1)</f>
        <v>-217188.15069459769</v>
      </c>
      <c r="AB45" s="72">
        <f t="shared" si="14"/>
        <v>-9.6824915174738863E-3</v>
      </c>
      <c r="AC45" s="72">
        <f t="shared" si="15"/>
        <v>1.1743853824814748E-2</v>
      </c>
      <c r="AD45" s="67">
        <f t="shared" si="16"/>
        <v>2110.4152161316315</v>
      </c>
      <c r="AE45" s="73">
        <f t="shared" si="17"/>
        <v>-410.60419465773066</v>
      </c>
      <c r="AF45" s="1">
        <v>1</v>
      </c>
    </row>
    <row r="46" spans="2:32" x14ac:dyDescent="0.2">
      <c r="I46" s="56">
        <f t="shared" si="0"/>
        <v>7.2489999999999997</v>
      </c>
      <c r="J46" s="57">
        <f t="shared" si="1"/>
        <v>7.2653999999999996</v>
      </c>
      <c r="K46" s="56">
        <f t="shared" si="2"/>
        <v>7.2350000000000003</v>
      </c>
      <c r="L46" s="58">
        <f t="shared" si="3"/>
        <v>7.2501999999999995</v>
      </c>
      <c r="M46" s="59">
        <f t="shared" si="4"/>
        <v>2.0964938898238028E-3</v>
      </c>
      <c r="N46" s="69">
        <v>7.1700000000000097</v>
      </c>
      <c r="O46" s="61">
        <f t="shared" si="5"/>
        <v>2.3E-2</v>
      </c>
      <c r="P46" s="68">
        <v>3</v>
      </c>
      <c r="Q46" s="62">
        <f t="shared" si="6"/>
        <v>1.3726E-2</v>
      </c>
      <c r="R46" s="63">
        <f t="shared" si="7"/>
        <v>30000</v>
      </c>
      <c r="S46" s="63">
        <v>30000</v>
      </c>
      <c r="T46" s="104">
        <f t="shared" si="8"/>
        <v>1</v>
      </c>
      <c r="U46" s="64">
        <f t="shared" si="9"/>
        <v>-217962</v>
      </c>
      <c r="V46" s="65">
        <f t="shared" si="10"/>
        <v>30000</v>
      </c>
      <c r="W46" s="71">
        <f t="shared" si="11"/>
        <v>171.03183869090489</v>
      </c>
      <c r="X46" s="71">
        <f t="shared" si="12"/>
        <v>30171.031838690906</v>
      </c>
      <c r="Y46" s="70">
        <f>X46*(N46*(1-M46))</f>
        <v>215872.7715208547</v>
      </c>
      <c r="Z46" s="70">
        <f t="shared" si="13"/>
        <v>-214368.15199232666</v>
      </c>
      <c r="AA46" s="70">
        <f>Y46+U46+N46*R46*(-1)</f>
        <v>-217189.22847914559</v>
      </c>
      <c r="AB46" s="72">
        <f t="shared" si="14"/>
        <v>-1.1061763813410643E-2</v>
      </c>
      <c r="AC46" s="72">
        <f t="shared" si="15"/>
        <v>1.3159960845862542E-2</v>
      </c>
      <c r="AD46" s="67">
        <f t="shared" si="16"/>
        <v>2411.0441642985857</v>
      </c>
      <c r="AE46" s="73">
        <f t="shared" si="17"/>
        <v>-410.03232252034331</v>
      </c>
      <c r="AF46" s="1">
        <v>1</v>
      </c>
    </row>
    <row r="47" spans="2:32" x14ac:dyDescent="0.2">
      <c r="I47" s="56">
        <f t="shared" si="0"/>
        <v>7.2489999999999997</v>
      </c>
      <c r="J47" s="57">
        <f t="shared" si="1"/>
        <v>7.2653999999999996</v>
      </c>
      <c r="K47" s="56">
        <f t="shared" si="2"/>
        <v>7.2350000000000003</v>
      </c>
      <c r="L47" s="58">
        <f t="shared" si="3"/>
        <v>7.2501999999999995</v>
      </c>
      <c r="M47" s="59">
        <f t="shared" si="4"/>
        <v>2.0964938898238028E-3</v>
      </c>
      <c r="N47" s="69">
        <v>7.1600000000000099</v>
      </c>
      <c r="O47" s="61">
        <f t="shared" si="5"/>
        <v>2.3E-2</v>
      </c>
      <c r="P47" s="68">
        <v>3</v>
      </c>
      <c r="Q47" s="62">
        <f t="shared" si="6"/>
        <v>1.3726E-2</v>
      </c>
      <c r="R47" s="63">
        <f t="shared" si="7"/>
        <v>30000</v>
      </c>
      <c r="S47" s="63">
        <v>30000</v>
      </c>
      <c r="T47" s="104">
        <f t="shared" si="8"/>
        <v>1</v>
      </c>
      <c r="U47" s="64">
        <f t="shared" si="9"/>
        <v>-217962</v>
      </c>
      <c r="V47" s="65">
        <f t="shared" si="10"/>
        <v>30000</v>
      </c>
      <c r="W47" s="71">
        <f t="shared" si="11"/>
        <v>171.03183869090489</v>
      </c>
      <c r="X47" s="71">
        <f t="shared" si="12"/>
        <v>30171.031838690906</v>
      </c>
      <c r="Y47" s="70">
        <f>X47*(N47*(1-M47))</f>
        <v>215571.6937363068</v>
      </c>
      <c r="Z47" s="70">
        <f t="shared" si="13"/>
        <v>-214069.17270084505</v>
      </c>
      <c r="AA47" s="70">
        <f>Y47+U47+N47*R47*(-1)</f>
        <v>-217190.30626369349</v>
      </c>
      <c r="AB47" s="72">
        <f t="shared" si="14"/>
        <v>-1.2441036109347277E-2</v>
      </c>
      <c r="AC47" s="72">
        <f t="shared" si="15"/>
        <v>1.4580023473114103E-2</v>
      </c>
      <c r="AD47" s="67">
        <f t="shared" si="16"/>
        <v>2711.6731124655403</v>
      </c>
      <c r="AE47" s="73">
        <f t="shared" si="17"/>
        <v>-409.46045038289731</v>
      </c>
      <c r="AF47" s="1">
        <v>1</v>
      </c>
    </row>
    <row r="48" spans="2:32" x14ac:dyDescent="0.2">
      <c r="I48" s="56">
        <f t="shared" si="0"/>
        <v>7.2489999999999997</v>
      </c>
      <c r="J48" s="57">
        <f t="shared" si="1"/>
        <v>7.2653999999999996</v>
      </c>
      <c r="K48" s="56">
        <f t="shared" si="2"/>
        <v>7.2350000000000003</v>
      </c>
      <c r="L48" s="58">
        <f t="shared" si="3"/>
        <v>7.2501999999999995</v>
      </c>
      <c r="M48" s="59">
        <f t="shared" si="4"/>
        <v>2.0964938898238028E-3</v>
      </c>
      <c r="N48" s="69">
        <v>7.1500000000000101</v>
      </c>
      <c r="O48" s="61">
        <f t="shared" si="5"/>
        <v>2.3E-2</v>
      </c>
      <c r="P48" s="68">
        <v>3</v>
      </c>
      <c r="Q48" s="62">
        <f t="shared" si="6"/>
        <v>1.3726E-2</v>
      </c>
      <c r="R48" s="63">
        <f t="shared" si="7"/>
        <v>30000</v>
      </c>
      <c r="S48" s="63">
        <v>30000</v>
      </c>
      <c r="T48" s="104">
        <f t="shared" si="8"/>
        <v>1</v>
      </c>
      <c r="U48" s="64">
        <f t="shared" si="9"/>
        <v>-217962</v>
      </c>
      <c r="V48" s="65">
        <f t="shared" si="10"/>
        <v>30000</v>
      </c>
      <c r="W48" s="71">
        <f t="shared" si="11"/>
        <v>171.03183869090489</v>
      </c>
      <c r="X48" s="71">
        <f t="shared" si="12"/>
        <v>30171.031838690906</v>
      </c>
      <c r="Y48" s="70">
        <f>X48*(N48*(1-M48))</f>
        <v>215270.61595175887</v>
      </c>
      <c r="Z48" s="70">
        <f t="shared" si="13"/>
        <v>-213770.19340936342</v>
      </c>
      <c r="AA48" s="70">
        <f>Y48+U48+N48*R48*(-1)</f>
        <v>-217191.38404824142</v>
      </c>
      <c r="AB48" s="72">
        <f t="shared" si="14"/>
        <v>-1.3820308405283912E-2</v>
      </c>
      <c r="AC48" s="72">
        <f t="shared" si="15"/>
        <v>1.600405830351909E-2</v>
      </c>
      <c r="AD48" s="67">
        <f t="shared" si="16"/>
        <v>3012.3020606324681</v>
      </c>
      <c r="AE48" s="73">
        <f t="shared" si="17"/>
        <v>-408.88857824553634</v>
      </c>
      <c r="AF48" s="1">
        <v>1</v>
      </c>
    </row>
    <row r="49" spans="9:32" x14ac:dyDescent="0.2">
      <c r="I49" s="56">
        <f t="shared" si="0"/>
        <v>7.2489999999999997</v>
      </c>
      <c r="J49" s="57">
        <f t="shared" si="1"/>
        <v>7.2653999999999996</v>
      </c>
      <c r="K49" s="56">
        <f t="shared" si="2"/>
        <v>7.2350000000000003</v>
      </c>
      <c r="L49" s="58">
        <f t="shared" si="3"/>
        <v>7.2501999999999995</v>
      </c>
      <c r="M49" s="59">
        <f t="shared" si="4"/>
        <v>2.0964938898238028E-3</v>
      </c>
      <c r="N49" s="69">
        <v>7.1400000000000103</v>
      </c>
      <c r="O49" s="61">
        <f t="shared" si="5"/>
        <v>2.3E-2</v>
      </c>
      <c r="P49" s="68">
        <v>3</v>
      </c>
      <c r="Q49" s="62">
        <f t="shared" si="6"/>
        <v>1.3726E-2</v>
      </c>
      <c r="R49" s="63">
        <f t="shared" si="7"/>
        <v>30000</v>
      </c>
      <c r="S49" s="63">
        <v>30000</v>
      </c>
      <c r="T49" s="104">
        <f t="shared" si="8"/>
        <v>1</v>
      </c>
      <c r="U49" s="64">
        <f t="shared" si="9"/>
        <v>-217962</v>
      </c>
      <c r="V49" s="65">
        <f t="shared" si="10"/>
        <v>30000</v>
      </c>
      <c r="W49" s="71">
        <f t="shared" si="11"/>
        <v>171.03183869090489</v>
      </c>
      <c r="X49" s="71">
        <f t="shared" si="12"/>
        <v>30171.031838690906</v>
      </c>
      <c r="Y49" s="70">
        <f>X49*(N49*(1-M49))</f>
        <v>214969.53816721099</v>
      </c>
      <c r="Z49" s="70">
        <f t="shared" si="13"/>
        <v>-213471.21411788181</v>
      </c>
      <c r="AA49" s="70">
        <f>Y49+U49+N49*R49*(-1)</f>
        <v>-217192.46183278933</v>
      </c>
      <c r="AB49" s="72">
        <f t="shared" si="14"/>
        <v>-1.5199580701220546E-2</v>
      </c>
      <c r="AC49" s="72">
        <f t="shared" si="15"/>
        <v>1.743208202700617E-2</v>
      </c>
      <c r="AD49" s="67">
        <f t="shared" si="16"/>
        <v>3312.9310087994222</v>
      </c>
      <c r="AE49" s="73">
        <f t="shared" si="17"/>
        <v>-408.31670610809078</v>
      </c>
      <c r="AF49" s="1">
        <v>1</v>
      </c>
    </row>
    <row r="50" spans="9:32" x14ac:dyDescent="0.2">
      <c r="I50" s="56">
        <f t="shared" si="0"/>
        <v>7.2489999999999997</v>
      </c>
      <c r="J50" s="57">
        <f t="shared" si="1"/>
        <v>7.2653999999999996</v>
      </c>
      <c r="K50" s="56">
        <f t="shared" si="2"/>
        <v>7.2350000000000003</v>
      </c>
      <c r="L50" s="58">
        <f t="shared" si="3"/>
        <v>7.2501999999999995</v>
      </c>
      <c r="M50" s="59">
        <f t="shared" si="4"/>
        <v>2.0964938898238028E-3</v>
      </c>
      <c r="N50" s="69">
        <v>7.1300000000000097</v>
      </c>
      <c r="O50" s="61">
        <f t="shared" si="5"/>
        <v>2.3E-2</v>
      </c>
      <c r="P50" s="68">
        <v>3</v>
      </c>
      <c r="Q50" s="62">
        <f t="shared" si="6"/>
        <v>1.3726E-2</v>
      </c>
      <c r="R50" s="63">
        <f t="shared" si="7"/>
        <v>30000</v>
      </c>
      <c r="S50" s="63">
        <v>30000</v>
      </c>
      <c r="T50" s="104">
        <f t="shared" si="8"/>
        <v>1</v>
      </c>
      <c r="U50" s="64">
        <f t="shared" si="9"/>
        <v>-217962</v>
      </c>
      <c r="V50" s="65">
        <f t="shared" si="10"/>
        <v>30000</v>
      </c>
      <c r="W50" s="71">
        <f t="shared" si="11"/>
        <v>171.03183869090489</v>
      </c>
      <c r="X50" s="71">
        <f t="shared" si="12"/>
        <v>30171.031838690906</v>
      </c>
      <c r="Y50" s="70">
        <f>X50*(N50*(1-M50))</f>
        <v>214668.46038266303</v>
      </c>
      <c r="Z50" s="70">
        <f t="shared" si="13"/>
        <v>-213172.23482640018</v>
      </c>
      <c r="AA50" s="70">
        <f>Y50+U50+N50*R50*(-1)</f>
        <v>-217193.53961733726</v>
      </c>
      <c r="AB50" s="72">
        <f t="shared" si="14"/>
        <v>-1.6578852997157303E-2</v>
      </c>
      <c r="AC50" s="72">
        <f t="shared" si="15"/>
        <v>1.8864111427137245E-2</v>
      </c>
      <c r="AD50" s="67">
        <f t="shared" si="16"/>
        <v>3613.5599569663768</v>
      </c>
      <c r="AE50" s="73">
        <f t="shared" si="17"/>
        <v>-407.74483397070298</v>
      </c>
      <c r="AF50" s="1">
        <v>1</v>
      </c>
    </row>
    <row r="51" spans="9:32" x14ac:dyDescent="0.2">
      <c r="I51" s="56">
        <f t="shared" si="0"/>
        <v>7.2489999999999997</v>
      </c>
      <c r="J51" s="57">
        <f t="shared" si="1"/>
        <v>7.2653999999999996</v>
      </c>
      <c r="K51" s="56">
        <f t="shared" si="2"/>
        <v>7.2350000000000003</v>
      </c>
      <c r="L51" s="58">
        <f t="shared" si="3"/>
        <v>7.2501999999999995</v>
      </c>
      <c r="M51" s="59">
        <f t="shared" si="4"/>
        <v>2.0964938898238028E-3</v>
      </c>
      <c r="N51" s="69">
        <v>7.1200000000000099</v>
      </c>
      <c r="O51" s="61">
        <f t="shared" si="5"/>
        <v>2.3E-2</v>
      </c>
      <c r="P51" s="57">
        <v>3</v>
      </c>
      <c r="Q51" s="62">
        <f t="shared" si="6"/>
        <v>1.3726E-2</v>
      </c>
      <c r="R51" s="63">
        <f t="shared" si="7"/>
        <v>30000</v>
      </c>
      <c r="S51" s="63">
        <v>30000</v>
      </c>
      <c r="T51" s="104">
        <f t="shared" si="8"/>
        <v>1</v>
      </c>
      <c r="U51" s="64">
        <f t="shared" si="9"/>
        <v>-217962</v>
      </c>
      <c r="V51" s="65">
        <f t="shared" si="10"/>
        <v>30000</v>
      </c>
      <c r="W51" s="65">
        <f t="shared" si="11"/>
        <v>171.03183869090489</v>
      </c>
      <c r="X51" s="65">
        <f t="shared" si="12"/>
        <v>30171.031838690906</v>
      </c>
      <c r="Y51" s="64">
        <f>X51*(N51*(1-M51))</f>
        <v>214367.38259811513</v>
      </c>
      <c r="Z51" s="70">
        <f t="shared" si="13"/>
        <v>-212873.25553491854</v>
      </c>
      <c r="AA51" s="70">
        <f>Y51+U51+N51*R51*(-1)</f>
        <v>-217194.61740188516</v>
      </c>
      <c r="AB51" s="72">
        <f t="shared" si="14"/>
        <v>-1.7958125293093936E-2</v>
      </c>
      <c r="AC51" s="72">
        <f t="shared" si="15"/>
        <v>2.0300163381762937E-2</v>
      </c>
      <c r="AD51" s="67">
        <f t="shared" si="16"/>
        <v>3914.188905133331</v>
      </c>
      <c r="AE51" s="73">
        <f t="shared" si="17"/>
        <v>-407.17296183328654</v>
      </c>
      <c r="AF51" s="1">
        <v>1</v>
      </c>
    </row>
    <row r="52" spans="9:32" x14ac:dyDescent="0.2">
      <c r="I52" s="56">
        <f t="shared" si="0"/>
        <v>7.2489999999999997</v>
      </c>
      <c r="J52" s="57">
        <f t="shared" si="1"/>
        <v>7.2653999999999996</v>
      </c>
      <c r="K52" s="56">
        <f t="shared" si="2"/>
        <v>7.2350000000000003</v>
      </c>
      <c r="L52" s="58">
        <f t="shared" si="3"/>
        <v>7.2501999999999995</v>
      </c>
      <c r="M52" s="59">
        <f t="shared" si="4"/>
        <v>2.0964938898238028E-3</v>
      </c>
      <c r="N52" s="69">
        <v>7.1100000000000101</v>
      </c>
      <c r="O52" s="61">
        <f t="shared" si="5"/>
        <v>2.3E-2</v>
      </c>
      <c r="P52" s="57">
        <v>3</v>
      </c>
      <c r="Q52" s="62">
        <f t="shared" si="6"/>
        <v>1.3726E-2</v>
      </c>
      <c r="R52" s="63">
        <f t="shared" si="7"/>
        <v>30000</v>
      </c>
      <c r="S52" s="63">
        <v>30000</v>
      </c>
      <c r="T52" s="104">
        <f t="shared" si="8"/>
        <v>1</v>
      </c>
      <c r="U52" s="64">
        <f t="shared" si="9"/>
        <v>-217962</v>
      </c>
      <c r="V52" s="65">
        <f t="shared" si="10"/>
        <v>30000</v>
      </c>
      <c r="W52" s="65">
        <f t="shared" si="11"/>
        <v>171.03183869090489</v>
      </c>
      <c r="X52" s="65">
        <f t="shared" si="12"/>
        <v>30171.031838690906</v>
      </c>
      <c r="Y52" s="64">
        <f>X52*(N52*(1-M52))</f>
        <v>214066.30481356723</v>
      </c>
      <c r="Z52" s="70">
        <f t="shared" si="13"/>
        <v>-212574.27624343691</v>
      </c>
      <c r="AA52" s="70">
        <f>Y52+U52+N52*R52*(-1)</f>
        <v>-217195.69518643306</v>
      </c>
      <c r="AB52" s="72">
        <f t="shared" si="14"/>
        <v>-1.9337397589030574E-2</v>
      </c>
      <c r="AC52" s="72">
        <f t="shared" si="15"/>
        <v>2.174025486368715E-2</v>
      </c>
      <c r="AD52" s="67">
        <f t="shared" si="16"/>
        <v>4214.8178533002592</v>
      </c>
      <c r="AE52" s="73">
        <f t="shared" si="17"/>
        <v>-406.60108969589601</v>
      </c>
      <c r="AF52" s="1">
        <v>1</v>
      </c>
    </row>
    <row r="53" spans="9:32" ht="17" thickBot="1" x14ac:dyDescent="0.25">
      <c r="I53" s="74">
        <f t="shared" si="0"/>
        <v>7.2489999999999997</v>
      </c>
      <c r="J53" s="75">
        <f t="shared" si="1"/>
        <v>7.2653999999999996</v>
      </c>
      <c r="K53" s="74">
        <f t="shared" si="2"/>
        <v>7.2350000000000003</v>
      </c>
      <c r="L53" s="76">
        <f t="shared" si="3"/>
        <v>7.2501999999999995</v>
      </c>
      <c r="M53" s="77">
        <f t="shared" si="4"/>
        <v>2.0964938898238028E-3</v>
      </c>
      <c r="N53" s="78">
        <v>7.1000000000000103</v>
      </c>
      <c r="O53" s="79">
        <f>$C$10</f>
        <v>2.3E-2</v>
      </c>
      <c r="P53" s="88">
        <v>3</v>
      </c>
      <c r="Q53" s="89">
        <f t="shared" si="6"/>
        <v>1.3726E-2</v>
      </c>
      <c r="R53" s="90">
        <f t="shared" si="7"/>
        <v>30000</v>
      </c>
      <c r="S53" s="90">
        <v>30000</v>
      </c>
      <c r="T53" s="105">
        <f>S53/R53</f>
        <v>1</v>
      </c>
      <c r="U53" s="91">
        <f t="shared" si="9"/>
        <v>-217962</v>
      </c>
      <c r="V53" s="92">
        <f t="shared" si="10"/>
        <v>30000</v>
      </c>
      <c r="W53" s="92">
        <f t="shared" si="11"/>
        <v>171.03183869090489</v>
      </c>
      <c r="X53" s="92">
        <f t="shared" si="12"/>
        <v>30171.031838690906</v>
      </c>
      <c r="Y53" s="91">
        <f>X53*(N53*(1-M53))</f>
        <v>213765.22702901933</v>
      </c>
      <c r="Z53" s="80">
        <f t="shared" si="13"/>
        <v>-212275.29695195533</v>
      </c>
      <c r="AA53" s="80">
        <f>Y53+U53+N53*R53*(-1)</f>
        <v>-217196.77297098099</v>
      </c>
      <c r="AB53" s="102">
        <f t="shared" si="14"/>
        <v>-2.0716669884967207E-2</v>
      </c>
      <c r="AC53" s="102">
        <f t="shared" si="15"/>
        <v>2.3184402941334954E-2</v>
      </c>
      <c r="AD53" s="103">
        <f t="shared" si="16"/>
        <v>4515.4468014672129</v>
      </c>
      <c r="AE53" s="103">
        <f t="shared" si="17"/>
        <v>-406.02921755845091</v>
      </c>
      <c r="AF53" s="1">
        <v>1</v>
      </c>
    </row>
  </sheetData>
  <mergeCells count="1">
    <mergeCell ref="F19:F20"/>
  </mergeCells>
  <hyperlinks>
    <hyperlink ref="A12" r:id="rId1" xr:uid="{4D66BA6E-3431-D44F-B935-31B40A3CE081}"/>
  </hyperlinks>
  <pageMargins left="0.7" right="0.7" top="0.75" bottom="0.75" header="0.3" footer="0.3"/>
  <pageSetup orientation="portrait" horizontalDpi="0" verticalDpi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Gloria Reynolds</dc:creator>
  <cp:lastModifiedBy>Gloria Reynolds</cp:lastModifiedBy>
  <dcterms:created xsi:type="dcterms:W3CDTF">2024-11-21T18:46:10Z</dcterms:created>
  <dcterms:modified xsi:type="dcterms:W3CDTF">2024-11-25T01:32:57Z</dcterms:modified>
</cp:coreProperties>
</file>