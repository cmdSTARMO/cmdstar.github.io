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dp/Desktop/CN_Asset/"/>
    </mc:Choice>
  </mc:AlternateContent>
  <xr:revisionPtr revIDLastSave="0" documentId="8_{2DDE9484-F9CE-9541-9A6E-D5E14D0C8DC9}" xr6:coauthVersionLast="47" xr6:coauthVersionMax="47" xr10:uidLastSave="{00000000-0000-0000-0000-000000000000}"/>
  <bookViews>
    <workbookView xWindow="0" yWindow="860" windowWidth="38400" windowHeight="22980" xr2:uid="{00000000-000D-0000-FFFF-FFFF00000000}"/>
  </bookViews>
  <sheets>
    <sheet name="G市收费公路估值" sheetId="1" r:id="rId1"/>
    <sheet name="G市收费公路估值_价格-车流量调整模型" sheetId="3" r:id="rId2"/>
    <sheet name="G市收费公路估值_价格-车流量调整模型 - 临界点" sheetId="4" r:id="rId3"/>
    <sheet name="Sheet1" sheetId="2" r:id="rId4"/>
  </sheets>
  <definedNames>
    <definedName name="_xlchart.v1.0" hidden="1">Sheet1!$E$100</definedName>
    <definedName name="_xlchart.v1.1" hidden="1">Sheet1!$E$101</definedName>
    <definedName name="_xlchart.v1.10" hidden="1">Sheet1!$E$110</definedName>
    <definedName name="_xlchart.v1.100" hidden="1">Sheet1!$F$112:$AH$112</definedName>
    <definedName name="_xlchart.v1.101" hidden="1">Sheet1!$F$113:$AH$113</definedName>
    <definedName name="_xlchart.v1.102" hidden="1">Sheet1!$F$114:$AH$114</definedName>
    <definedName name="_xlchart.v1.103" hidden="1">Sheet1!$F$115:$AH$115</definedName>
    <definedName name="_xlchart.v1.104" hidden="1">Sheet1!$F$86:$AH$86</definedName>
    <definedName name="_xlchart.v1.105" hidden="1">Sheet1!$F$87:$AH$87</definedName>
    <definedName name="_xlchart.v1.106" hidden="1">Sheet1!$F$88:$AH$88</definedName>
    <definedName name="_xlchart.v1.107" hidden="1">Sheet1!$F$89:$AH$89</definedName>
    <definedName name="_xlchart.v1.108" hidden="1">Sheet1!$F$90:$AH$90</definedName>
    <definedName name="_xlchart.v1.109" hidden="1">Sheet1!$F$91:$AH$91</definedName>
    <definedName name="_xlchart.v1.11" hidden="1">Sheet1!$E$111</definedName>
    <definedName name="_xlchart.v1.110" hidden="1">Sheet1!$F$92:$AH$92</definedName>
    <definedName name="_xlchart.v1.111" hidden="1">Sheet1!$F$93:$AH$93</definedName>
    <definedName name="_xlchart.v1.112" hidden="1">Sheet1!$F$94:$AH$94</definedName>
    <definedName name="_xlchart.v1.113" hidden="1">Sheet1!$F$95:$AH$95</definedName>
    <definedName name="_xlchart.v1.114" hidden="1">Sheet1!$F$96:$AH$96</definedName>
    <definedName name="_xlchart.v1.115" hidden="1">Sheet1!$F$97:$AH$97</definedName>
    <definedName name="_xlchart.v1.116" hidden="1">Sheet1!$F$98:$AH$98</definedName>
    <definedName name="_xlchart.v1.117" hidden="1">Sheet1!$F$99:$AH$99</definedName>
    <definedName name="_xlchart.v1.118" hidden="1">Sheet1!$E$100</definedName>
    <definedName name="_xlchart.v1.119" hidden="1">Sheet1!$E$101</definedName>
    <definedName name="_xlchart.v1.12" hidden="1">Sheet1!$E$112</definedName>
    <definedName name="_xlchart.v1.120" hidden="1">Sheet1!$E$102</definedName>
    <definedName name="_xlchart.v1.121" hidden="1">Sheet1!$E$103</definedName>
    <definedName name="_xlchart.v1.122" hidden="1">Sheet1!$E$104</definedName>
    <definedName name="_xlchart.v1.123" hidden="1">Sheet1!$E$105</definedName>
    <definedName name="_xlchart.v1.124" hidden="1">Sheet1!$E$106</definedName>
    <definedName name="_xlchart.v1.125" hidden="1">Sheet1!$E$107</definedName>
    <definedName name="_xlchart.v1.126" hidden="1">Sheet1!$E$108</definedName>
    <definedName name="_xlchart.v1.127" hidden="1">Sheet1!$E$109</definedName>
    <definedName name="_xlchart.v1.128" hidden="1">Sheet1!$E$110</definedName>
    <definedName name="_xlchart.v1.129" hidden="1">Sheet1!$E$111</definedName>
    <definedName name="_xlchart.v1.13" hidden="1">Sheet1!$E$113</definedName>
    <definedName name="_xlchart.v1.130" hidden="1">Sheet1!$E$112</definedName>
    <definedName name="_xlchart.v1.131" hidden="1">Sheet1!$E$113</definedName>
    <definedName name="_xlchart.v1.132" hidden="1">Sheet1!$E$114</definedName>
    <definedName name="_xlchart.v1.133" hidden="1">Sheet1!$E$115</definedName>
    <definedName name="_xlchart.v1.134" hidden="1">Sheet1!$E$87</definedName>
    <definedName name="_xlchart.v1.135" hidden="1">Sheet1!$E$88</definedName>
    <definedName name="_xlchart.v1.136" hidden="1">Sheet1!$E$89</definedName>
    <definedName name="_xlchart.v1.137" hidden="1">Sheet1!$E$90</definedName>
    <definedName name="_xlchart.v1.138" hidden="1">Sheet1!$E$91</definedName>
    <definedName name="_xlchart.v1.139" hidden="1">Sheet1!$E$92</definedName>
    <definedName name="_xlchart.v1.14" hidden="1">Sheet1!$E$114</definedName>
    <definedName name="_xlchart.v1.140" hidden="1">Sheet1!$E$93</definedName>
    <definedName name="_xlchart.v1.141" hidden="1">Sheet1!$E$94</definedName>
    <definedName name="_xlchart.v1.142" hidden="1">Sheet1!$E$95</definedName>
    <definedName name="_xlchart.v1.143" hidden="1">Sheet1!$E$96</definedName>
    <definedName name="_xlchart.v1.144" hidden="1">Sheet1!$E$97</definedName>
    <definedName name="_xlchart.v1.145" hidden="1">Sheet1!$E$98</definedName>
    <definedName name="_xlchart.v1.146" hidden="1">Sheet1!$E$99</definedName>
    <definedName name="_xlchart.v1.147" hidden="1">Sheet1!$F$100:$AH$100</definedName>
    <definedName name="_xlchart.v1.148" hidden="1">Sheet1!$F$101:$AH$101</definedName>
    <definedName name="_xlchart.v1.149" hidden="1">Sheet1!$F$102:$AH$102</definedName>
    <definedName name="_xlchart.v1.15" hidden="1">Sheet1!$E$115</definedName>
    <definedName name="_xlchart.v1.150" hidden="1">Sheet1!$F$103:$AH$103</definedName>
    <definedName name="_xlchart.v1.151" hidden="1">Sheet1!$F$104:$AH$104</definedName>
    <definedName name="_xlchart.v1.152" hidden="1">Sheet1!$F$105:$AH$105</definedName>
    <definedName name="_xlchart.v1.153" hidden="1">Sheet1!$F$106:$AH$106</definedName>
    <definedName name="_xlchart.v1.154" hidden="1">Sheet1!$F$107:$AH$107</definedName>
    <definedName name="_xlchart.v1.155" hidden="1">Sheet1!$F$108:$AH$108</definedName>
    <definedName name="_xlchart.v1.156" hidden="1">Sheet1!$F$109:$AH$109</definedName>
    <definedName name="_xlchart.v1.157" hidden="1">Sheet1!$F$110:$AH$110</definedName>
    <definedName name="_xlchart.v1.158" hidden="1">Sheet1!$F$111:$AH$111</definedName>
    <definedName name="_xlchart.v1.159" hidden="1">Sheet1!$F$112:$AH$112</definedName>
    <definedName name="_xlchart.v1.16" hidden="1">Sheet1!$E$87</definedName>
    <definedName name="_xlchart.v1.160" hidden="1">Sheet1!$F$113:$AH$113</definedName>
    <definedName name="_xlchart.v1.161" hidden="1">Sheet1!$F$114:$AH$114</definedName>
    <definedName name="_xlchart.v1.162" hidden="1">Sheet1!$F$115:$AH$115</definedName>
    <definedName name="_xlchart.v1.163" hidden="1">Sheet1!$F$86:$AH$86</definedName>
    <definedName name="_xlchart.v1.164" hidden="1">Sheet1!$F$87:$AH$87</definedName>
    <definedName name="_xlchart.v1.165" hidden="1">Sheet1!$F$88:$AH$88</definedName>
    <definedName name="_xlchart.v1.166" hidden="1">Sheet1!$F$89:$AH$89</definedName>
    <definedName name="_xlchart.v1.167" hidden="1">Sheet1!$F$90:$AH$90</definedName>
    <definedName name="_xlchart.v1.168" hidden="1">Sheet1!$F$91:$AH$91</definedName>
    <definedName name="_xlchart.v1.169" hidden="1">Sheet1!$F$92:$AH$92</definedName>
    <definedName name="_xlchart.v1.17" hidden="1">Sheet1!$E$88</definedName>
    <definedName name="_xlchart.v1.170" hidden="1">Sheet1!$F$93:$AH$93</definedName>
    <definedName name="_xlchart.v1.171" hidden="1">Sheet1!$F$94:$AH$94</definedName>
    <definedName name="_xlchart.v1.172" hidden="1">Sheet1!$F$95:$AH$95</definedName>
    <definedName name="_xlchart.v1.173" hidden="1">Sheet1!$F$96:$AH$96</definedName>
    <definedName name="_xlchart.v1.174" hidden="1">Sheet1!$F$97:$AH$97</definedName>
    <definedName name="_xlchart.v1.175" hidden="1">Sheet1!$F$98:$AH$98</definedName>
    <definedName name="_xlchart.v1.176" hidden="1">Sheet1!$F$99:$AH$99</definedName>
    <definedName name="_xlchart.v1.177" hidden="1">Sheet1!$E$100</definedName>
    <definedName name="_xlchart.v1.178" hidden="1">Sheet1!$E$101</definedName>
    <definedName name="_xlchart.v1.179" hidden="1">Sheet1!$E$102</definedName>
    <definedName name="_xlchart.v1.18" hidden="1">Sheet1!$E$89</definedName>
    <definedName name="_xlchart.v1.180" hidden="1">Sheet1!$E$103</definedName>
    <definedName name="_xlchart.v1.181" hidden="1">Sheet1!$E$104</definedName>
    <definedName name="_xlchart.v1.182" hidden="1">Sheet1!$E$105</definedName>
    <definedName name="_xlchart.v1.183" hidden="1">Sheet1!$E$106</definedName>
    <definedName name="_xlchart.v1.184" hidden="1">Sheet1!$E$107</definedName>
    <definedName name="_xlchart.v1.185" hidden="1">Sheet1!$E$108</definedName>
    <definedName name="_xlchart.v1.186" hidden="1">Sheet1!$E$109</definedName>
    <definedName name="_xlchart.v1.187" hidden="1">Sheet1!$E$110</definedName>
    <definedName name="_xlchart.v1.188" hidden="1">Sheet1!$E$111</definedName>
    <definedName name="_xlchart.v1.189" hidden="1">Sheet1!$E$112</definedName>
    <definedName name="_xlchart.v1.19" hidden="1">Sheet1!$E$90</definedName>
    <definedName name="_xlchart.v1.190" hidden="1">Sheet1!$E$113</definedName>
    <definedName name="_xlchart.v1.191" hidden="1">Sheet1!$E$114</definedName>
    <definedName name="_xlchart.v1.192" hidden="1">Sheet1!$E$115</definedName>
    <definedName name="_xlchart.v1.193" hidden="1">Sheet1!$E$87</definedName>
    <definedName name="_xlchart.v1.194" hidden="1">Sheet1!$E$88</definedName>
    <definedName name="_xlchart.v1.195" hidden="1">Sheet1!$E$89</definedName>
    <definedName name="_xlchart.v1.196" hidden="1">Sheet1!$E$90</definedName>
    <definedName name="_xlchart.v1.197" hidden="1">Sheet1!$E$91</definedName>
    <definedName name="_xlchart.v1.198" hidden="1">Sheet1!$E$92</definedName>
    <definedName name="_xlchart.v1.199" hidden="1">Sheet1!$E$93</definedName>
    <definedName name="_xlchart.v1.2" hidden="1">Sheet1!$E$102</definedName>
    <definedName name="_xlchart.v1.20" hidden="1">Sheet1!$E$91</definedName>
    <definedName name="_xlchart.v1.200" hidden="1">Sheet1!$E$94</definedName>
    <definedName name="_xlchart.v1.201" hidden="1">Sheet1!$E$95</definedName>
    <definedName name="_xlchart.v1.202" hidden="1">Sheet1!$E$96</definedName>
    <definedName name="_xlchart.v1.203" hidden="1">Sheet1!$E$97</definedName>
    <definedName name="_xlchart.v1.204" hidden="1">Sheet1!$E$98</definedName>
    <definedName name="_xlchart.v1.205" hidden="1">Sheet1!$E$99</definedName>
    <definedName name="_xlchart.v1.206" hidden="1">Sheet1!$F$100:$AH$100</definedName>
    <definedName name="_xlchart.v1.207" hidden="1">Sheet1!$F$101:$AH$101</definedName>
    <definedName name="_xlchart.v1.208" hidden="1">Sheet1!$F$102:$AH$102</definedName>
    <definedName name="_xlchart.v1.209" hidden="1">Sheet1!$F$103:$AH$103</definedName>
    <definedName name="_xlchart.v1.21" hidden="1">Sheet1!$E$92</definedName>
    <definedName name="_xlchart.v1.210" hidden="1">Sheet1!$F$104:$AH$104</definedName>
    <definedName name="_xlchart.v1.211" hidden="1">Sheet1!$F$105:$AH$105</definedName>
    <definedName name="_xlchart.v1.212" hidden="1">Sheet1!$F$106:$AH$106</definedName>
    <definedName name="_xlchart.v1.213" hidden="1">Sheet1!$F$107:$AH$107</definedName>
    <definedName name="_xlchart.v1.214" hidden="1">Sheet1!$F$108:$AH$108</definedName>
    <definedName name="_xlchart.v1.215" hidden="1">Sheet1!$F$109:$AH$109</definedName>
    <definedName name="_xlchart.v1.216" hidden="1">Sheet1!$F$110:$AH$110</definedName>
    <definedName name="_xlchart.v1.217" hidden="1">Sheet1!$F$111:$AH$111</definedName>
    <definedName name="_xlchart.v1.218" hidden="1">Sheet1!$F$112:$AH$112</definedName>
    <definedName name="_xlchart.v1.219" hidden="1">Sheet1!$F$113:$AH$113</definedName>
    <definedName name="_xlchart.v1.22" hidden="1">Sheet1!$E$93</definedName>
    <definedName name="_xlchart.v1.220" hidden="1">Sheet1!$F$114:$AH$114</definedName>
    <definedName name="_xlchart.v1.221" hidden="1">Sheet1!$F$115:$AH$115</definedName>
    <definedName name="_xlchart.v1.222" hidden="1">Sheet1!$F$86:$AH$86</definedName>
    <definedName name="_xlchart.v1.223" hidden="1">Sheet1!$F$87:$AH$87</definedName>
    <definedName name="_xlchart.v1.224" hidden="1">Sheet1!$F$88:$AH$88</definedName>
    <definedName name="_xlchart.v1.225" hidden="1">Sheet1!$F$89:$AH$89</definedName>
    <definedName name="_xlchart.v1.226" hidden="1">Sheet1!$F$90:$AH$90</definedName>
    <definedName name="_xlchart.v1.227" hidden="1">Sheet1!$F$91:$AH$91</definedName>
    <definedName name="_xlchart.v1.228" hidden="1">Sheet1!$F$92:$AH$92</definedName>
    <definedName name="_xlchart.v1.229" hidden="1">Sheet1!$F$93:$AH$93</definedName>
    <definedName name="_xlchart.v1.23" hidden="1">Sheet1!$E$94</definedName>
    <definedName name="_xlchart.v1.230" hidden="1">Sheet1!$F$94:$AH$94</definedName>
    <definedName name="_xlchart.v1.231" hidden="1">Sheet1!$F$95:$AH$95</definedName>
    <definedName name="_xlchart.v1.232" hidden="1">Sheet1!$F$96:$AH$96</definedName>
    <definedName name="_xlchart.v1.233" hidden="1">Sheet1!$F$97:$AH$97</definedName>
    <definedName name="_xlchart.v1.234" hidden="1">Sheet1!$F$98:$AH$98</definedName>
    <definedName name="_xlchart.v1.235" hidden="1">Sheet1!$F$99:$AH$99</definedName>
    <definedName name="_xlchart.v1.236" hidden="1">Sheet1!$E$100</definedName>
    <definedName name="_xlchart.v1.237" hidden="1">Sheet1!$E$101</definedName>
    <definedName name="_xlchart.v1.238" hidden="1">Sheet1!$E$102</definedName>
    <definedName name="_xlchart.v1.239" hidden="1">Sheet1!$E$103</definedName>
    <definedName name="_xlchart.v1.24" hidden="1">Sheet1!$E$95</definedName>
    <definedName name="_xlchart.v1.240" hidden="1">Sheet1!$E$104</definedName>
    <definedName name="_xlchart.v1.241" hidden="1">Sheet1!$E$105</definedName>
    <definedName name="_xlchart.v1.242" hidden="1">Sheet1!$E$106</definedName>
    <definedName name="_xlchart.v1.243" hidden="1">Sheet1!$E$107</definedName>
    <definedName name="_xlchart.v1.244" hidden="1">Sheet1!$E$108</definedName>
    <definedName name="_xlchart.v1.245" hidden="1">Sheet1!$E$109</definedName>
    <definedName name="_xlchart.v1.246" hidden="1">Sheet1!$E$110</definedName>
    <definedName name="_xlchart.v1.247" hidden="1">Sheet1!$E$111</definedName>
    <definedName name="_xlchart.v1.248" hidden="1">Sheet1!$E$112</definedName>
    <definedName name="_xlchart.v1.249" hidden="1">Sheet1!$E$113</definedName>
    <definedName name="_xlchart.v1.25" hidden="1">Sheet1!$E$96</definedName>
    <definedName name="_xlchart.v1.250" hidden="1">Sheet1!$E$114</definedName>
    <definedName name="_xlchart.v1.251" hidden="1">Sheet1!$E$115</definedName>
    <definedName name="_xlchart.v1.252" hidden="1">Sheet1!$E$87</definedName>
    <definedName name="_xlchart.v1.253" hidden="1">Sheet1!$E$88</definedName>
    <definedName name="_xlchart.v1.254" hidden="1">Sheet1!$E$89</definedName>
    <definedName name="_xlchart.v1.255" hidden="1">Sheet1!$E$90</definedName>
    <definedName name="_xlchart.v1.256" hidden="1">Sheet1!$E$91</definedName>
    <definedName name="_xlchart.v1.257" hidden="1">Sheet1!$E$92</definedName>
    <definedName name="_xlchart.v1.258" hidden="1">Sheet1!$E$93</definedName>
    <definedName name="_xlchart.v1.259" hidden="1">Sheet1!$E$94</definedName>
    <definedName name="_xlchart.v1.26" hidden="1">Sheet1!$E$97</definedName>
    <definedName name="_xlchart.v1.260" hidden="1">Sheet1!$E$95</definedName>
    <definedName name="_xlchart.v1.261" hidden="1">Sheet1!$E$96</definedName>
    <definedName name="_xlchart.v1.262" hidden="1">Sheet1!$E$97</definedName>
    <definedName name="_xlchart.v1.263" hidden="1">Sheet1!$E$98</definedName>
    <definedName name="_xlchart.v1.264" hidden="1">Sheet1!$E$99</definedName>
    <definedName name="_xlchart.v1.265" hidden="1">Sheet1!$F$100:$AH$100</definedName>
    <definedName name="_xlchart.v1.266" hidden="1">Sheet1!$F$101:$AH$101</definedName>
    <definedName name="_xlchart.v1.267" hidden="1">Sheet1!$F$102:$AH$102</definedName>
    <definedName name="_xlchart.v1.268" hidden="1">Sheet1!$F$103:$AH$103</definedName>
    <definedName name="_xlchart.v1.269" hidden="1">Sheet1!$F$104:$AH$104</definedName>
    <definedName name="_xlchart.v1.27" hidden="1">Sheet1!$E$98</definedName>
    <definedName name="_xlchart.v1.270" hidden="1">Sheet1!$F$105:$AH$105</definedName>
    <definedName name="_xlchart.v1.271" hidden="1">Sheet1!$F$106:$AH$106</definedName>
    <definedName name="_xlchart.v1.272" hidden="1">Sheet1!$F$107:$AH$107</definedName>
    <definedName name="_xlchart.v1.273" hidden="1">Sheet1!$F$108:$AH$108</definedName>
    <definedName name="_xlchart.v1.274" hidden="1">Sheet1!$F$109:$AH$109</definedName>
    <definedName name="_xlchart.v1.275" hidden="1">Sheet1!$F$110:$AH$110</definedName>
    <definedName name="_xlchart.v1.276" hidden="1">Sheet1!$F$111:$AH$111</definedName>
    <definedName name="_xlchart.v1.277" hidden="1">Sheet1!$F$112:$AH$112</definedName>
    <definedName name="_xlchart.v1.278" hidden="1">Sheet1!$F$113:$AH$113</definedName>
    <definedName name="_xlchart.v1.279" hidden="1">Sheet1!$F$114:$AH$114</definedName>
    <definedName name="_xlchart.v1.28" hidden="1">Sheet1!$E$99</definedName>
    <definedName name="_xlchart.v1.280" hidden="1">Sheet1!$F$115:$AH$115</definedName>
    <definedName name="_xlchart.v1.281" hidden="1">Sheet1!$F$86:$AH$86</definedName>
    <definedName name="_xlchart.v1.282" hidden="1">Sheet1!$F$87:$AH$87</definedName>
    <definedName name="_xlchart.v1.283" hidden="1">Sheet1!$F$88:$AH$88</definedName>
    <definedName name="_xlchart.v1.284" hidden="1">Sheet1!$F$89:$AH$89</definedName>
    <definedName name="_xlchart.v1.285" hidden="1">Sheet1!$F$90:$AH$90</definedName>
    <definedName name="_xlchart.v1.286" hidden="1">Sheet1!$F$91:$AH$91</definedName>
    <definedName name="_xlchart.v1.287" hidden="1">Sheet1!$F$92:$AH$92</definedName>
    <definedName name="_xlchart.v1.288" hidden="1">Sheet1!$F$93:$AH$93</definedName>
    <definedName name="_xlchart.v1.289" hidden="1">Sheet1!$F$94:$AH$94</definedName>
    <definedName name="_xlchart.v1.29" hidden="1">Sheet1!$F$100:$AH$100</definedName>
    <definedName name="_xlchart.v1.290" hidden="1">Sheet1!$F$95:$AH$95</definedName>
    <definedName name="_xlchart.v1.291" hidden="1">Sheet1!$F$96:$AH$96</definedName>
    <definedName name="_xlchart.v1.292" hidden="1">Sheet1!$F$97:$AH$97</definedName>
    <definedName name="_xlchart.v1.293" hidden="1">Sheet1!$F$98:$AH$98</definedName>
    <definedName name="_xlchart.v1.294" hidden="1">Sheet1!$F$99:$AH$99</definedName>
    <definedName name="_xlchart.v1.295" hidden="1">Sheet1!$E$100</definedName>
    <definedName name="_xlchart.v1.296" hidden="1">Sheet1!$E$101</definedName>
    <definedName name="_xlchart.v1.297" hidden="1">Sheet1!$E$102</definedName>
    <definedName name="_xlchart.v1.298" hidden="1">Sheet1!$E$103</definedName>
    <definedName name="_xlchart.v1.299" hidden="1">Sheet1!$E$104</definedName>
    <definedName name="_xlchart.v1.3" hidden="1">Sheet1!$E$103</definedName>
    <definedName name="_xlchart.v1.30" hidden="1">Sheet1!$F$101:$AH$101</definedName>
    <definedName name="_xlchart.v1.300" hidden="1">Sheet1!$E$105</definedName>
    <definedName name="_xlchart.v1.301" hidden="1">Sheet1!$E$106</definedName>
    <definedName name="_xlchart.v1.302" hidden="1">Sheet1!$E$107</definedName>
    <definedName name="_xlchart.v1.303" hidden="1">Sheet1!$E$108</definedName>
    <definedName name="_xlchart.v1.304" hidden="1">Sheet1!$E$109</definedName>
    <definedName name="_xlchart.v1.305" hidden="1">Sheet1!$E$110</definedName>
    <definedName name="_xlchart.v1.306" hidden="1">Sheet1!$E$111</definedName>
    <definedName name="_xlchart.v1.307" hidden="1">Sheet1!$E$112</definedName>
    <definedName name="_xlchart.v1.308" hidden="1">Sheet1!$E$113</definedName>
    <definedName name="_xlchart.v1.309" hidden="1">Sheet1!$E$114</definedName>
    <definedName name="_xlchart.v1.31" hidden="1">Sheet1!$F$102:$AH$102</definedName>
    <definedName name="_xlchart.v1.310" hidden="1">Sheet1!$E$115</definedName>
    <definedName name="_xlchart.v1.311" hidden="1">Sheet1!$E$87</definedName>
    <definedName name="_xlchart.v1.312" hidden="1">Sheet1!$E$88</definedName>
    <definedName name="_xlchart.v1.313" hidden="1">Sheet1!$E$89</definedName>
    <definedName name="_xlchart.v1.314" hidden="1">Sheet1!$E$90</definedName>
    <definedName name="_xlchart.v1.315" hidden="1">Sheet1!$E$91</definedName>
    <definedName name="_xlchart.v1.316" hidden="1">Sheet1!$E$92</definedName>
    <definedName name="_xlchart.v1.317" hidden="1">Sheet1!$E$93</definedName>
    <definedName name="_xlchart.v1.318" hidden="1">Sheet1!$E$94</definedName>
    <definedName name="_xlchart.v1.319" hidden="1">Sheet1!$E$95</definedName>
    <definedName name="_xlchart.v1.32" hidden="1">Sheet1!$F$103:$AH$103</definedName>
    <definedName name="_xlchart.v1.320" hidden="1">Sheet1!$E$96</definedName>
    <definedName name="_xlchart.v1.321" hidden="1">Sheet1!$E$97</definedName>
    <definedName name="_xlchart.v1.322" hidden="1">Sheet1!$E$98</definedName>
    <definedName name="_xlchart.v1.323" hidden="1">Sheet1!$E$99</definedName>
    <definedName name="_xlchart.v1.324" hidden="1">Sheet1!$F$100:$AH$100</definedName>
    <definedName name="_xlchart.v1.325" hidden="1">Sheet1!$F$101:$AH$101</definedName>
    <definedName name="_xlchart.v1.326" hidden="1">Sheet1!$F$102:$AH$102</definedName>
    <definedName name="_xlchart.v1.327" hidden="1">Sheet1!$F$103:$AH$103</definedName>
    <definedName name="_xlchart.v1.328" hidden="1">Sheet1!$F$104:$AH$104</definedName>
    <definedName name="_xlchart.v1.329" hidden="1">Sheet1!$F$105:$AH$105</definedName>
    <definedName name="_xlchart.v1.33" hidden="1">Sheet1!$F$104:$AH$104</definedName>
    <definedName name="_xlchart.v1.330" hidden="1">Sheet1!$F$106:$AH$106</definedName>
    <definedName name="_xlchart.v1.331" hidden="1">Sheet1!$F$107:$AH$107</definedName>
    <definedName name="_xlchart.v1.332" hidden="1">Sheet1!$F$108:$AH$108</definedName>
    <definedName name="_xlchart.v1.333" hidden="1">Sheet1!$F$109:$AH$109</definedName>
    <definedName name="_xlchart.v1.334" hidden="1">Sheet1!$F$110:$AH$110</definedName>
    <definedName name="_xlchart.v1.335" hidden="1">Sheet1!$F$111:$AH$111</definedName>
    <definedName name="_xlchart.v1.336" hidden="1">Sheet1!$F$112:$AH$112</definedName>
    <definedName name="_xlchart.v1.337" hidden="1">Sheet1!$F$113:$AH$113</definedName>
    <definedName name="_xlchart.v1.338" hidden="1">Sheet1!$F$114:$AH$114</definedName>
    <definedName name="_xlchart.v1.339" hidden="1">Sheet1!$F$115:$AH$115</definedName>
    <definedName name="_xlchart.v1.34" hidden="1">Sheet1!$F$105:$AH$105</definedName>
    <definedName name="_xlchart.v1.340" hidden="1">Sheet1!$F$86:$AH$86</definedName>
    <definedName name="_xlchart.v1.341" hidden="1">Sheet1!$F$87:$AH$87</definedName>
    <definedName name="_xlchart.v1.342" hidden="1">Sheet1!$F$88:$AH$88</definedName>
    <definedName name="_xlchart.v1.343" hidden="1">Sheet1!$F$89:$AH$89</definedName>
    <definedName name="_xlchart.v1.344" hidden="1">Sheet1!$F$90:$AH$90</definedName>
    <definedName name="_xlchart.v1.345" hidden="1">Sheet1!$F$91:$AH$91</definedName>
    <definedName name="_xlchart.v1.346" hidden="1">Sheet1!$F$92:$AH$92</definedName>
    <definedName name="_xlchart.v1.347" hidden="1">Sheet1!$F$93:$AH$93</definedName>
    <definedName name="_xlchart.v1.348" hidden="1">Sheet1!$F$94:$AH$94</definedName>
    <definedName name="_xlchart.v1.349" hidden="1">Sheet1!$F$95:$AH$95</definedName>
    <definedName name="_xlchart.v1.35" hidden="1">Sheet1!$F$106:$AH$106</definedName>
    <definedName name="_xlchart.v1.350" hidden="1">Sheet1!$F$96:$AH$96</definedName>
    <definedName name="_xlchart.v1.351" hidden="1">Sheet1!$F$97:$AH$97</definedName>
    <definedName name="_xlchart.v1.352" hidden="1">Sheet1!$F$98:$AH$98</definedName>
    <definedName name="_xlchart.v1.353" hidden="1">Sheet1!$F$99:$AH$99</definedName>
    <definedName name="_xlchart.v1.354" hidden="1">Sheet1!$E$100</definedName>
    <definedName name="_xlchart.v1.355" hidden="1">Sheet1!$E$101</definedName>
    <definedName name="_xlchart.v1.356" hidden="1">Sheet1!$E$102</definedName>
    <definedName name="_xlchart.v1.357" hidden="1">Sheet1!$E$103</definedName>
    <definedName name="_xlchart.v1.358" hidden="1">Sheet1!$E$104</definedName>
    <definedName name="_xlchart.v1.359" hidden="1">Sheet1!$E$105</definedName>
    <definedName name="_xlchart.v1.36" hidden="1">Sheet1!$F$107:$AH$107</definedName>
    <definedName name="_xlchart.v1.360" hidden="1">Sheet1!$E$106</definedName>
    <definedName name="_xlchart.v1.361" hidden="1">Sheet1!$E$107</definedName>
    <definedName name="_xlchart.v1.362" hidden="1">Sheet1!$E$108</definedName>
    <definedName name="_xlchart.v1.363" hidden="1">Sheet1!$E$109</definedName>
    <definedName name="_xlchart.v1.364" hidden="1">Sheet1!$E$110</definedName>
    <definedName name="_xlchart.v1.365" hidden="1">Sheet1!$E$111</definedName>
    <definedName name="_xlchart.v1.366" hidden="1">Sheet1!$E$112</definedName>
    <definedName name="_xlchart.v1.367" hidden="1">Sheet1!$E$113</definedName>
    <definedName name="_xlchart.v1.368" hidden="1">Sheet1!$E$114</definedName>
    <definedName name="_xlchart.v1.369" hidden="1">Sheet1!$E$115</definedName>
    <definedName name="_xlchart.v1.37" hidden="1">Sheet1!$F$108:$AH$108</definedName>
    <definedName name="_xlchart.v1.370" hidden="1">Sheet1!$E$87</definedName>
    <definedName name="_xlchart.v1.371" hidden="1">Sheet1!$E$88</definedName>
    <definedName name="_xlchart.v1.372" hidden="1">Sheet1!$E$89</definedName>
    <definedName name="_xlchart.v1.373" hidden="1">Sheet1!$E$90</definedName>
    <definedName name="_xlchart.v1.374" hidden="1">Sheet1!$E$91</definedName>
    <definedName name="_xlchart.v1.375" hidden="1">Sheet1!$E$92</definedName>
    <definedName name="_xlchart.v1.376" hidden="1">Sheet1!$E$93</definedName>
    <definedName name="_xlchart.v1.377" hidden="1">Sheet1!$E$94</definedName>
    <definedName name="_xlchart.v1.378" hidden="1">Sheet1!$E$95</definedName>
    <definedName name="_xlchart.v1.379" hidden="1">Sheet1!$E$96</definedName>
    <definedName name="_xlchart.v1.38" hidden="1">Sheet1!$F$109:$AH$109</definedName>
    <definedName name="_xlchart.v1.380" hidden="1">Sheet1!$E$97</definedName>
    <definedName name="_xlchart.v1.381" hidden="1">Sheet1!$E$98</definedName>
    <definedName name="_xlchart.v1.382" hidden="1">Sheet1!$E$99</definedName>
    <definedName name="_xlchart.v1.383" hidden="1">Sheet1!$F$100:$AH$100</definedName>
    <definedName name="_xlchart.v1.384" hidden="1">Sheet1!$F$101:$AH$101</definedName>
    <definedName name="_xlchart.v1.385" hidden="1">Sheet1!$F$102:$AH$102</definedName>
    <definedName name="_xlchart.v1.386" hidden="1">Sheet1!$F$103:$AH$103</definedName>
    <definedName name="_xlchart.v1.387" hidden="1">Sheet1!$F$104:$AH$104</definedName>
    <definedName name="_xlchart.v1.388" hidden="1">Sheet1!$F$105:$AH$105</definedName>
    <definedName name="_xlchart.v1.389" hidden="1">Sheet1!$F$106:$AH$106</definedName>
    <definedName name="_xlchart.v1.39" hidden="1">Sheet1!$F$110:$AH$110</definedName>
    <definedName name="_xlchart.v1.390" hidden="1">Sheet1!$F$107:$AH$107</definedName>
    <definedName name="_xlchart.v1.391" hidden="1">Sheet1!$F$108:$AH$108</definedName>
    <definedName name="_xlchart.v1.392" hidden="1">Sheet1!$F$109:$AH$109</definedName>
    <definedName name="_xlchart.v1.393" hidden="1">Sheet1!$F$110:$AH$110</definedName>
    <definedName name="_xlchart.v1.394" hidden="1">Sheet1!$F$111:$AH$111</definedName>
    <definedName name="_xlchart.v1.395" hidden="1">Sheet1!$F$112:$AH$112</definedName>
    <definedName name="_xlchart.v1.396" hidden="1">Sheet1!$F$113:$AH$113</definedName>
    <definedName name="_xlchart.v1.397" hidden="1">Sheet1!$F$114:$AH$114</definedName>
    <definedName name="_xlchart.v1.398" hidden="1">Sheet1!$F$115:$AH$115</definedName>
    <definedName name="_xlchart.v1.399" hidden="1">Sheet1!$F$86:$AH$86</definedName>
    <definedName name="_xlchart.v1.4" hidden="1">Sheet1!$E$104</definedName>
    <definedName name="_xlchart.v1.40" hidden="1">Sheet1!$F$111:$AH$111</definedName>
    <definedName name="_xlchart.v1.400" hidden="1">Sheet1!$F$87:$AH$87</definedName>
    <definedName name="_xlchart.v1.401" hidden="1">Sheet1!$F$88:$AH$88</definedName>
    <definedName name="_xlchart.v1.402" hidden="1">Sheet1!$F$89:$AH$89</definedName>
    <definedName name="_xlchart.v1.403" hidden="1">Sheet1!$F$90:$AH$90</definedName>
    <definedName name="_xlchart.v1.404" hidden="1">Sheet1!$F$91:$AH$91</definedName>
    <definedName name="_xlchart.v1.405" hidden="1">Sheet1!$F$92:$AH$92</definedName>
    <definedName name="_xlchart.v1.406" hidden="1">Sheet1!$F$93:$AH$93</definedName>
    <definedName name="_xlchart.v1.407" hidden="1">Sheet1!$F$94:$AH$94</definedName>
    <definedName name="_xlchart.v1.408" hidden="1">Sheet1!$F$95:$AH$95</definedName>
    <definedName name="_xlchart.v1.409" hidden="1">Sheet1!$F$96:$AH$96</definedName>
    <definedName name="_xlchart.v1.41" hidden="1">Sheet1!$F$112:$AH$112</definedName>
    <definedName name="_xlchart.v1.410" hidden="1">Sheet1!$F$97:$AH$97</definedName>
    <definedName name="_xlchart.v1.411" hidden="1">Sheet1!$F$98:$AH$98</definedName>
    <definedName name="_xlchart.v1.412" hidden="1">Sheet1!$F$99:$AH$99</definedName>
    <definedName name="_xlchart.v1.42" hidden="1">Sheet1!$F$113:$AH$113</definedName>
    <definedName name="_xlchart.v1.43" hidden="1">Sheet1!$F$114:$AH$114</definedName>
    <definedName name="_xlchart.v1.44" hidden="1">Sheet1!$F$115:$AH$115</definedName>
    <definedName name="_xlchart.v1.45" hidden="1">Sheet1!$F$86:$AH$86</definedName>
    <definedName name="_xlchart.v1.46" hidden="1">Sheet1!$F$87:$AH$87</definedName>
    <definedName name="_xlchart.v1.47" hidden="1">Sheet1!$F$88:$AH$88</definedName>
    <definedName name="_xlchart.v1.48" hidden="1">Sheet1!$F$89:$AH$89</definedName>
    <definedName name="_xlchart.v1.49" hidden="1">Sheet1!$F$90:$AH$90</definedName>
    <definedName name="_xlchart.v1.5" hidden="1">Sheet1!$E$105</definedName>
    <definedName name="_xlchart.v1.50" hidden="1">Sheet1!$F$91:$AH$91</definedName>
    <definedName name="_xlchart.v1.51" hidden="1">Sheet1!$F$92:$AH$92</definedName>
    <definedName name="_xlchart.v1.52" hidden="1">Sheet1!$F$93:$AH$93</definedName>
    <definedName name="_xlchart.v1.53" hidden="1">Sheet1!$F$94:$AH$94</definedName>
    <definedName name="_xlchart.v1.54" hidden="1">Sheet1!$F$95:$AH$95</definedName>
    <definedName name="_xlchart.v1.55" hidden="1">Sheet1!$F$96:$AH$96</definedName>
    <definedName name="_xlchart.v1.56" hidden="1">Sheet1!$F$97:$AH$97</definedName>
    <definedName name="_xlchart.v1.57" hidden="1">Sheet1!$F$98:$AH$98</definedName>
    <definedName name="_xlchart.v1.58" hidden="1">Sheet1!$F$99:$AH$99</definedName>
    <definedName name="_xlchart.v1.59" hidden="1">Sheet1!$E$100</definedName>
    <definedName name="_xlchart.v1.6" hidden="1">Sheet1!$E$106</definedName>
    <definedName name="_xlchart.v1.60" hidden="1">Sheet1!$E$101</definedName>
    <definedName name="_xlchart.v1.61" hidden="1">Sheet1!$E$102</definedName>
    <definedName name="_xlchart.v1.62" hidden="1">Sheet1!$E$103</definedName>
    <definedName name="_xlchart.v1.63" hidden="1">Sheet1!$E$104</definedName>
    <definedName name="_xlchart.v1.64" hidden="1">Sheet1!$E$105</definedName>
    <definedName name="_xlchart.v1.65" hidden="1">Sheet1!$E$106</definedName>
    <definedName name="_xlchart.v1.66" hidden="1">Sheet1!$E$107</definedName>
    <definedName name="_xlchart.v1.67" hidden="1">Sheet1!$E$108</definedName>
    <definedName name="_xlchart.v1.68" hidden="1">Sheet1!$E$109</definedName>
    <definedName name="_xlchart.v1.69" hidden="1">Sheet1!$E$110</definedName>
    <definedName name="_xlchart.v1.7" hidden="1">Sheet1!$E$107</definedName>
    <definedName name="_xlchart.v1.70" hidden="1">Sheet1!$E$111</definedName>
    <definedName name="_xlchart.v1.71" hidden="1">Sheet1!$E$112</definedName>
    <definedName name="_xlchart.v1.72" hidden="1">Sheet1!$E$113</definedName>
    <definedName name="_xlchart.v1.73" hidden="1">Sheet1!$E$114</definedName>
    <definedName name="_xlchart.v1.74" hidden="1">Sheet1!$E$115</definedName>
    <definedName name="_xlchart.v1.75" hidden="1">Sheet1!$E$87</definedName>
    <definedName name="_xlchart.v1.76" hidden="1">Sheet1!$E$88</definedName>
    <definedName name="_xlchart.v1.77" hidden="1">Sheet1!$E$89</definedName>
    <definedName name="_xlchart.v1.78" hidden="1">Sheet1!$E$90</definedName>
    <definedName name="_xlchart.v1.79" hidden="1">Sheet1!$E$91</definedName>
    <definedName name="_xlchart.v1.8" hidden="1">Sheet1!$E$108</definedName>
    <definedName name="_xlchart.v1.80" hidden="1">Sheet1!$E$92</definedName>
    <definedName name="_xlchart.v1.81" hidden="1">Sheet1!$E$93</definedName>
    <definedName name="_xlchart.v1.82" hidden="1">Sheet1!$E$94</definedName>
    <definedName name="_xlchart.v1.83" hidden="1">Sheet1!$E$95</definedName>
    <definedName name="_xlchart.v1.84" hidden="1">Sheet1!$E$96</definedName>
    <definedName name="_xlchart.v1.85" hidden="1">Sheet1!$E$97</definedName>
    <definedName name="_xlchart.v1.86" hidden="1">Sheet1!$E$98</definedName>
    <definedName name="_xlchart.v1.87" hidden="1">Sheet1!$E$99</definedName>
    <definedName name="_xlchart.v1.88" hidden="1">Sheet1!$F$100:$AH$100</definedName>
    <definedName name="_xlchart.v1.89" hidden="1">Sheet1!$F$101:$AH$101</definedName>
    <definedName name="_xlchart.v1.9" hidden="1">Sheet1!$E$109</definedName>
    <definedName name="_xlchart.v1.90" hidden="1">Sheet1!$F$102:$AH$102</definedName>
    <definedName name="_xlchart.v1.91" hidden="1">Sheet1!$F$103:$AH$103</definedName>
    <definedName name="_xlchart.v1.92" hidden="1">Sheet1!$F$104:$AH$104</definedName>
    <definedName name="_xlchart.v1.93" hidden="1">Sheet1!$F$105:$AH$105</definedName>
    <definedName name="_xlchart.v1.94" hidden="1">Sheet1!$F$106:$AH$106</definedName>
    <definedName name="_xlchart.v1.95" hidden="1">Sheet1!$F$107:$AH$107</definedName>
    <definedName name="_xlchart.v1.96" hidden="1">Sheet1!$F$108:$AH$108</definedName>
    <definedName name="_xlchart.v1.97" hidden="1">Sheet1!$F$109:$AH$109</definedName>
    <definedName name="_xlchart.v1.98" hidden="1">Sheet1!$F$110:$AH$110</definedName>
    <definedName name="_xlchart.v1.99" hidden="1">Sheet1!$F$111:$AH$111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C43" i="4"/>
  <c r="G35" i="4"/>
  <c r="F35" i="4"/>
  <c r="E35" i="4"/>
  <c r="D35" i="4"/>
  <c r="C35" i="4"/>
  <c r="N34" i="4"/>
  <c r="G34" i="4"/>
  <c r="F34" i="4"/>
  <c r="E34" i="4"/>
  <c r="D34" i="4"/>
  <c r="C34" i="4"/>
  <c r="N33" i="4"/>
  <c r="G33" i="4"/>
  <c r="F33" i="4"/>
  <c r="E33" i="4"/>
  <c r="D33" i="4"/>
  <c r="C33" i="4"/>
  <c r="N32" i="4"/>
  <c r="N31" i="4"/>
  <c r="N30" i="4"/>
  <c r="N29" i="4"/>
  <c r="Z24" i="4" a="1"/>
  <c r="Z24" i="4" s="1"/>
  <c r="F22" i="4"/>
  <c r="F43" i="4" s="1"/>
  <c r="E22" i="4"/>
  <c r="E43" i="4" s="1"/>
  <c r="D22" i="4"/>
  <c r="G17" i="4"/>
  <c r="G29" i="4" s="1"/>
  <c r="G16" i="4"/>
  <c r="G25" i="4" s="1"/>
  <c r="G13" i="4"/>
  <c r="G12" i="4"/>
  <c r="C23" i="4" s="1"/>
  <c r="D23" i="4" s="1"/>
  <c r="D86" i="2"/>
  <c r="D26" i="2"/>
  <c r="G12" i="3"/>
  <c r="C23" i="3" s="1"/>
  <c r="G16" i="3"/>
  <c r="D25" i="3" s="1"/>
  <c r="G17" i="3"/>
  <c r="G13" i="3"/>
  <c r="C43" i="3"/>
  <c r="G35" i="3"/>
  <c r="F35" i="3"/>
  <c r="E35" i="3"/>
  <c r="D35" i="3"/>
  <c r="C35" i="3"/>
  <c r="N34" i="3"/>
  <c r="G34" i="3"/>
  <c r="F34" i="3"/>
  <c r="E34" i="3"/>
  <c r="D34" i="3"/>
  <c r="C34" i="3"/>
  <c r="N33" i="3"/>
  <c r="G33" i="3"/>
  <c r="F33" i="3"/>
  <c r="E33" i="3"/>
  <c r="D33" i="3"/>
  <c r="C33" i="3"/>
  <c r="N32" i="3"/>
  <c r="N31" i="3"/>
  <c r="N30" i="3"/>
  <c r="N29" i="3"/>
  <c r="Z24" i="3" a="1"/>
  <c r="Z24" i="3" s="1"/>
  <c r="D22" i="3"/>
  <c r="D43" i="3" s="1"/>
  <c r="F23" i="1"/>
  <c r="C26" i="1"/>
  <c r="D24" i="1"/>
  <c r="C24" i="1"/>
  <c r="C25" i="1"/>
  <c r="D21" i="1"/>
  <c r="E21" i="1"/>
  <c r="F21" i="1" s="1"/>
  <c r="G21" i="1" s="1"/>
  <c r="C21" i="1"/>
  <c r="E17" i="1"/>
  <c r="F17" i="1" s="1"/>
  <c r="D17" i="1"/>
  <c r="C17" i="1"/>
  <c r="D20" i="1"/>
  <c r="E20" i="1"/>
  <c r="C20" i="1"/>
  <c r="Z18" i="1" a="1"/>
  <c r="Z18" i="1" s="1"/>
  <c r="G28" i="1"/>
  <c r="F28" i="1"/>
  <c r="E28" i="1"/>
  <c r="D28" i="1"/>
  <c r="C28" i="1"/>
  <c r="N23" i="1"/>
  <c r="N28" i="1"/>
  <c r="N25" i="1"/>
  <c r="N26" i="1"/>
  <c r="N27" i="1"/>
  <c r="N24" i="1"/>
  <c r="C34" i="1"/>
  <c r="G29" i="1"/>
  <c r="F29" i="1"/>
  <c r="E29" i="1"/>
  <c r="D29" i="1"/>
  <c r="C29" i="1"/>
  <c r="G27" i="1"/>
  <c r="F27" i="1"/>
  <c r="E27" i="1"/>
  <c r="D27" i="1"/>
  <c r="C27" i="1"/>
  <c r="D16" i="1"/>
  <c r="D34" i="1" s="1"/>
  <c r="G12" i="1"/>
  <c r="D23" i="1" s="1"/>
  <c r="G11" i="1"/>
  <c r="G19" i="1" s="1"/>
  <c r="G10" i="1"/>
  <c r="G9" i="1"/>
  <c r="B4" i="1"/>
  <c r="E29" i="4" l="1"/>
  <c r="G18" i="4"/>
  <c r="B5" i="4" s="1"/>
  <c r="C29" i="4"/>
  <c r="C25" i="4"/>
  <c r="C26" i="4" s="1"/>
  <c r="D29" i="4"/>
  <c r="E23" i="4"/>
  <c r="G15" i="4"/>
  <c r="D25" i="4"/>
  <c r="D26" i="4" s="1"/>
  <c r="G22" i="4"/>
  <c r="G43" i="4" s="1"/>
  <c r="E25" i="4"/>
  <c r="C27" i="4"/>
  <c r="F29" i="4"/>
  <c r="G14" i="4"/>
  <c r="B4" i="4"/>
  <c r="F25" i="4"/>
  <c r="G18" i="3"/>
  <c r="G14" i="3"/>
  <c r="C25" i="3"/>
  <c r="B4" i="3"/>
  <c r="C29" i="3"/>
  <c r="E25" i="3"/>
  <c r="G25" i="3"/>
  <c r="F25" i="3"/>
  <c r="E22" i="3"/>
  <c r="F20" i="1"/>
  <c r="G17" i="1"/>
  <c r="G20" i="1" s="1"/>
  <c r="E23" i="1"/>
  <c r="G23" i="1"/>
  <c r="G13" i="1"/>
  <c r="B5" i="1" s="1"/>
  <c r="F19" i="1"/>
  <c r="E19" i="1"/>
  <c r="C23" i="1"/>
  <c r="E16" i="1"/>
  <c r="C19" i="1"/>
  <c r="C31" i="1" s="1"/>
  <c r="D19" i="1"/>
  <c r="D27" i="4" l="1"/>
  <c r="C30" i="4"/>
  <c r="C31" i="4" s="1"/>
  <c r="C32" i="4" s="1"/>
  <c r="E26" i="4"/>
  <c r="F23" i="4"/>
  <c r="F29" i="3"/>
  <c r="G29" i="3"/>
  <c r="E29" i="3"/>
  <c r="G15" i="3"/>
  <c r="C27" i="3"/>
  <c r="D27" i="3" s="1"/>
  <c r="B5" i="3"/>
  <c r="D29" i="3"/>
  <c r="E43" i="3"/>
  <c r="F22" i="3"/>
  <c r="C32" i="1"/>
  <c r="C33" i="1" s="1"/>
  <c r="C35" i="1" s="1"/>
  <c r="E34" i="1"/>
  <c r="F16" i="1"/>
  <c r="E24" i="1"/>
  <c r="G23" i="4" l="1"/>
  <c r="G26" i="4" s="1"/>
  <c r="F26" i="4"/>
  <c r="C37" i="4"/>
  <c r="E27" i="4"/>
  <c r="D30" i="4"/>
  <c r="D31" i="4" s="1"/>
  <c r="D32" i="4" s="1"/>
  <c r="D37" i="4" s="1"/>
  <c r="D23" i="3"/>
  <c r="D26" i="3" s="1"/>
  <c r="C30" i="3"/>
  <c r="E27" i="3"/>
  <c r="C26" i="3"/>
  <c r="D30" i="3"/>
  <c r="G22" i="3"/>
  <c r="G43" i="3" s="1"/>
  <c r="F43" i="3"/>
  <c r="G16" i="1"/>
  <c r="G34" i="1" s="1"/>
  <c r="F34" i="1"/>
  <c r="F24" i="1"/>
  <c r="D25" i="1"/>
  <c r="D26" i="1" s="1"/>
  <c r="D31" i="1" s="1"/>
  <c r="E23" i="3" l="1"/>
  <c r="E26" i="3" s="1"/>
  <c r="C31" i="3"/>
  <c r="C32" i="3" s="1"/>
  <c r="C37" i="3" s="1"/>
  <c r="C38" i="3" s="1"/>
  <c r="C39" i="3" s="1"/>
  <c r="C42" i="3" s="1"/>
  <c r="C44" i="3" s="1"/>
  <c r="D38" i="4"/>
  <c r="D39" i="4" s="1"/>
  <c r="C38" i="4"/>
  <c r="C39" i="4" s="1"/>
  <c r="C41" i="4" s="1"/>
  <c r="E30" i="4"/>
  <c r="E31" i="4" s="1"/>
  <c r="E32" i="4" s="1"/>
  <c r="E37" i="4" s="1"/>
  <c r="F27" i="4"/>
  <c r="D31" i="3"/>
  <c r="D32" i="3" s="1"/>
  <c r="D32" i="1"/>
  <c r="D33" i="1" s="1"/>
  <c r="D35" i="1" s="1"/>
  <c r="G24" i="1"/>
  <c r="F25" i="1"/>
  <c r="F26" i="1" s="1"/>
  <c r="F31" i="1" s="1"/>
  <c r="G25" i="1"/>
  <c r="G26" i="1" s="1"/>
  <c r="G31" i="1" s="1"/>
  <c r="E25" i="1"/>
  <c r="E26" i="1" s="1"/>
  <c r="E31" i="1" s="1"/>
  <c r="F23" i="3" l="1"/>
  <c r="C42" i="4"/>
  <c r="C44" i="4" s="1"/>
  <c r="D41" i="4"/>
  <c r="D42" i="4"/>
  <c r="D44" i="4" s="1"/>
  <c r="G27" i="4"/>
  <c r="G30" i="4" s="1"/>
  <c r="G31" i="4" s="1"/>
  <c r="G32" i="4" s="1"/>
  <c r="G37" i="4" s="1"/>
  <c r="F30" i="4"/>
  <c r="F31" i="4" s="1"/>
  <c r="F32" i="4" s="1"/>
  <c r="E38" i="4"/>
  <c r="E39" i="4" s="1"/>
  <c r="C41" i="3"/>
  <c r="D37" i="3"/>
  <c r="D38" i="3" s="1"/>
  <c r="D39" i="3" s="1"/>
  <c r="D42" i="3" s="1"/>
  <c r="D44" i="3" s="1"/>
  <c r="F26" i="3"/>
  <c r="G23" i="3"/>
  <c r="G26" i="3" s="1"/>
  <c r="E30" i="3"/>
  <c r="E31" i="3" s="1"/>
  <c r="E32" i="3" s="1"/>
  <c r="F27" i="3"/>
  <c r="E32" i="1"/>
  <c r="E33" i="1" s="1"/>
  <c r="E35" i="1" s="1"/>
  <c r="F32" i="1"/>
  <c r="F33" i="1" s="1"/>
  <c r="F35" i="1" s="1"/>
  <c r="G32" i="1"/>
  <c r="G33" i="1" s="1"/>
  <c r="G35" i="1" s="1"/>
  <c r="E42" i="4" l="1"/>
  <c r="E44" i="4" s="1"/>
  <c r="E41" i="4"/>
  <c r="G38" i="4"/>
  <c r="G39" i="4" s="1"/>
  <c r="G41" i="4" s="1"/>
  <c r="F37" i="4"/>
  <c r="L3" i="4"/>
  <c r="V4" i="4"/>
  <c r="D41" i="3"/>
  <c r="E37" i="3"/>
  <c r="E38" i="3" s="1"/>
  <c r="E39" i="3" s="1"/>
  <c r="E42" i="3" s="1"/>
  <c r="E44" i="3" s="1"/>
  <c r="F30" i="3"/>
  <c r="F31" i="3" s="1"/>
  <c r="F32" i="3" s="1"/>
  <c r="G27" i="3"/>
  <c r="G30" i="3" s="1"/>
  <c r="G31" i="3" s="1"/>
  <c r="G32" i="3" s="1"/>
  <c r="G37" i="3" s="1"/>
  <c r="G38" i="3" s="1"/>
  <c r="G39" i="3" s="1"/>
  <c r="G42" i="3" s="1"/>
  <c r="G44" i="3" s="1"/>
  <c r="C37" i="1"/>
  <c r="R17" i="1" s="1"/>
  <c r="F38" i="4" l="1"/>
  <c r="F39" i="4" s="1"/>
  <c r="N100" i="4"/>
  <c r="M4" i="4"/>
  <c r="G42" i="4"/>
  <c r="G44" i="4" s="1"/>
  <c r="G41" i="3"/>
  <c r="E41" i="3"/>
  <c r="L3" i="3"/>
  <c r="N100" i="3" s="1"/>
  <c r="F37" i="3"/>
  <c r="F38" i="3" s="1"/>
  <c r="F39" i="3" s="1"/>
  <c r="F42" i="3" s="1"/>
  <c r="F44" i="3" s="1"/>
  <c r="V4" i="3"/>
  <c r="F42" i="4" l="1"/>
  <c r="F44" i="4" s="1"/>
  <c r="C46" i="4" s="1"/>
  <c r="R23" i="4" s="1"/>
  <c r="F41" i="4"/>
  <c r="C46" i="3"/>
  <c r="R23" i="3" s="1"/>
  <c r="F41" i="3"/>
  <c r="M4" i="3"/>
  <c r="E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000-000001000000}">
      <text>
        <r>
          <rPr>
            <sz val="11"/>
            <color rgb="FF000000"/>
            <rFont val="Calibri"/>
            <family val="2"/>
          </rPr>
          <t>由车流量细分假设区的小客车与大客车首年车流量汇总得到。</t>
        </r>
      </text>
    </comment>
    <comment ref="B5" authorId="0" shapeId="0" xr:uid="{00000000-0006-0000-0000-000002000000}">
      <text>
        <r>
          <rPr>
            <sz val="11"/>
            <color rgb="FF000000"/>
            <rFont val="Calibri"/>
            <family val="2"/>
          </rPr>
          <t>由车流量细分假设区按小客车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大客车占比和平均单价加权得到。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BEFB0F14-F035-A843-BBAD-75137ACF3679}">
      <text>
        <r>
          <rPr>
            <sz val="11"/>
            <color rgb="FF000000"/>
            <rFont val="Calibri"/>
            <family val="2"/>
          </rPr>
          <t>由车流量细分假设区的小客车与大客车首年车流量汇总得到。</t>
        </r>
      </text>
    </comment>
    <comment ref="B5" authorId="0" shapeId="0" xr:uid="{89274F74-4441-2F45-99F6-A8F4148B21BD}">
      <text>
        <r>
          <rPr>
            <sz val="11"/>
            <color rgb="FF000000"/>
            <rFont val="Calibri"/>
            <family val="2"/>
          </rPr>
          <t>由车流量细分假设区按小客车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大客车占比和平均单价加权得到。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EF3F178E-9761-544C-BAE6-133A8AF5E32B}">
      <text>
        <r>
          <rPr>
            <sz val="11"/>
            <color rgb="FF000000"/>
            <rFont val="Calibri"/>
            <family val="2"/>
          </rPr>
          <t>由车流量细分假设区的小客车与大客车首年车流量汇总得到。</t>
        </r>
      </text>
    </comment>
    <comment ref="B5" authorId="0" shapeId="0" xr:uid="{3A8C0618-E957-BB4C-8EE6-186E289194D9}">
      <text>
        <r>
          <rPr>
            <sz val="11"/>
            <color rgb="FF000000"/>
            <rFont val="Calibri"/>
            <family val="2"/>
          </rPr>
          <t>由车流量细分假设区按小客车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大客车占比和平均单价加权得到。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<sst xmlns="http://schemas.openxmlformats.org/spreadsheetml/2006/main" count="425" uniqueCount="123">
  <si>
    <t>G市收费公路项目估值模型</t>
  </si>
  <si>
    <t>初始假设区域</t>
  </si>
  <si>
    <t>车流量细分假设区</t>
  </si>
  <si>
    <t>首年车流量</t>
  </si>
  <si>
    <t>车次</t>
  </si>
  <si>
    <t>基准价格</t>
  </si>
  <si>
    <t>元</t>
  </si>
  <si>
    <t>平均单车收费</t>
  </si>
  <si>
    <t>x</t>
  </si>
  <si>
    <t>收费实现率</t>
  </si>
  <si>
    <t>车流量年增长率</t>
  </si>
  <si>
    <t>年运营成本</t>
  </si>
  <si>
    <t>亿元</t>
  </si>
  <si>
    <t>年常规资本支出</t>
  </si>
  <si>
    <t>税率</t>
  </si>
  <si>
    <t>贴现率</t>
  </si>
  <si>
    <t>剩余收费期</t>
  </si>
  <si>
    <t>年</t>
  </si>
  <si>
    <t>加权平均单车收费</t>
  </si>
  <si>
    <t>年度估值明细（主模型）</t>
  </si>
  <si>
    <t>项目行</t>
  </si>
  <si>
    <t>单位</t>
  </si>
  <si>
    <t>%</t>
  </si>
  <si>
    <t>理论总收入</t>
  </si>
  <si>
    <t>实际收入</t>
  </si>
  <si>
    <t>额外运营成本</t>
  </si>
  <si>
    <t>常规资本支出</t>
  </si>
  <si>
    <t>额外资本支出</t>
  </si>
  <si>
    <t>税前现金流</t>
  </si>
  <si>
    <t>交税</t>
  </si>
  <si>
    <t>净现金流</t>
  </si>
  <si>
    <t>折现因子</t>
  </si>
  <si>
    <t>折现值</t>
  </si>
  <si>
    <t>项目现值（亿元）</t>
  </si>
  <si>
    <t>图表与展示占位区</t>
  </si>
  <si>
    <t>Excel图表占位区 1：主模型年度现金流与折现值展示</t>
  </si>
  <si>
    <t>Excel图表占位区 2：CapEx 按年份 / 金额扰动对项目价值的影响</t>
  </si>
  <si>
    <t>Excel图表占位区 3：运营成本抬升对项目价值的影响</t>
  </si>
  <si>
    <t>货车首年车流量</t>
  </si>
  <si>
    <t>客车首年车流量</t>
  </si>
  <si>
    <t>货车占比</t>
  </si>
  <si>
    <t>货车平均单价</t>
  </si>
  <si>
    <t>货车总收入</t>
  </si>
  <si>
    <t>货车收费系数</t>
  </si>
  <si>
    <t>货车车流量</t>
  </si>
  <si>
    <t>货车车流量变化系数</t>
  </si>
  <si>
    <t>客车收费系数</t>
  </si>
  <si>
    <t>客车占比</t>
  </si>
  <si>
    <t>客车平均单价</t>
  </si>
  <si>
    <t>客车车流量</t>
  </si>
  <si>
    <t>客车车流量变化系数</t>
  </si>
  <si>
    <t>客车总收入</t>
  </si>
  <si>
    <t>说明：黄色单元格为输入项，绿色单元格为由细分假设或公式联动计算得到。主模型中的“变化系数”“额外运营成本”“额外资本开支”均为预留给后续敏感性分析使用，默认值为0。</t>
  </si>
  <si>
    <t>现值</t>
  </si>
  <si>
    <t>年份</t>
  </si>
  <si>
    <t>k年时的1.5亿元CapEx对现值的影响</t>
  </si>
  <si>
    <t>CapEx发生在第1年</t>
  </si>
  <si>
    <t>CapEx发生在第2年</t>
  </si>
  <si>
    <t>CapEx发生在第3年</t>
  </si>
  <si>
    <t>CapEx发生在第4年</t>
  </si>
  <si>
    <t>CapEx发生在第5年</t>
  </si>
  <si>
    <t>无CapEx支出时</t>
  </si>
  <si>
    <t>可变OpEx</t>
  </si>
  <si>
    <t>持续几年到第五年</t>
  </si>
  <si>
    <t>每年支出多少</t>
  </si>
  <si>
    <t>OpEx=0.1亿元</t>
  </si>
  <si>
    <t>OpEx=0.3亿元</t>
  </si>
  <si>
    <t>OpEx=0.5亿元</t>
  </si>
  <si>
    <t>OpEx=0.7亿元</t>
  </si>
  <si>
    <t>OpEx=0.9亿元</t>
  </si>
  <si>
    <t>持续1年</t>
  </si>
  <si>
    <t>持续2年</t>
  </si>
  <si>
    <t>持续3年</t>
  </si>
  <si>
    <t>持续4年</t>
  </si>
  <si>
    <t>持续5年</t>
  </si>
  <si>
    <t>OpEx未发生</t>
  </si>
  <si>
    <t>基准客车首年车流量</t>
  </si>
  <si>
    <t>基准货车首年车流量</t>
  </si>
  <si>
    <t>客车价格弹性系数</t>
  </si>
  <si>
    <t>货车价格弹性系数</t>
  </si>
  <si>
    <t>实际价格</t>
  </si>
  <si>
    <t>实际客车首年车流量</t>
  </si>
  <si>
    <t>实际货车首年车流量</t>
  </si>
  <si>
    <t>D1</t>
  </si>
  <si>
    <t>D2</t>
  </si>
  <si>
    <t>D3</t>
  </si>
  <si>
    <t>D4</t>
  </si>
  <si>
    <t>D5</t>
  </si>
  <si>
    <t>D6</t>
  </si>
  <si>
    <t>D7</t>
  </si>
  <si>
    <t>客车价格弹性系数 = 0.850</t>
  </si>
  <si>
    <t>客车价格弹性系数 = 0.825</t>
  </si>
  <si>
    <t>客车价格弹性系数 = 0.800</t>
  </si>
  <si>
    <t>客车价格弹性系数 = 0.775</t>
  </si>
  <si>
    <t>客车价格弹性系数 = 0.750</t>
  </si>
  <si>
    <t>客车价格弹性系数 = 0.725</t>
  </si>
  <si>
    <t>客车价格弹性系数 = 0.700</t>
  </si>
  <si>
    <t>客车价格弹性系数 = 0.675</t>
  </si>
  <si>
    <t>客车价格弹性系数 = 0.650</t>
  </si>
  <si>
    <t>客车价格弹性系数 = 0.625</t>
  </si>
  <si>
    <t>客车价格弹性系数 = 0.600</t>
  </si>
  <si>
    <t>客车价格弹性系数 = 0.575</t>
  </si>
  <si>
    <t>客车价格弹性系数 = 0.550</t>
  </si>
  <si>
    <t>客车价格弹性系数 = 0.525</t>
  </si>
  <si>
    <t>客车价格弹性系数 = 0.500</t>
  </si>
  <si>
    <t>客车价格弹性系数 = 0.475</t>
  </si>
  <si>
    <t>客车价格弹性系数 = 0.450</t>
  </si>
  <si>
    <t>客车价格弹性系数 = 0.425</t>
  </si>
  <si>
    <t>客车价格弹性系数 = 0.400</t>
  </si>
  <si>
    <t>客车价格弹性系数 = 0.375</t>
  </si>
  <si>
    <t>客车价格弹性系数 = 0.350</t>
  </si>
  <si>
    <t>客车价格弹性系数 = 0.325</t>
  </si>
  <si>
    <t>客车价格弹性系数 = 0.300</t>
  </si>
  <si>
    <t>客车价格弹性系数 = 0.275</t>
  </si>
  <si>
    <t>客车价格弹性系数 = 0.250</t>
  </si>
  <si>
    <t>客车价格弹性系数 = 0.225</t>
  </si>
  <si>
    <t>客车价格弹性系数 = 0.200</t>
  </si>
  <si>
    <t>客车价格弹性系数 = 0.175</t>
  </si>
  <si>
    <t>客车价格弹性系数 = 0.150</t>
  </si>
  <si>
    <r>
      <t xml:space="preserve">基准实际收入 = 56.58
</t>
    </r>
    <r>
      <rPr>
        <i/>
        <sz val="12"/>
        <color theme="0"/>
        <rFont val="Microsoft YaHei"/>
        <family val="2"/>
        <charset val="134"/>
      </rPr>
      <t>（单位：亿元）</t>
    </r>
  </si>
  <si>
    <t>本息支出</t>
  </si>
  <si>
    <t>债务服务覆盖倍数</t>
  </si>
  <si>
    <t>可用于偿债的现金流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</si>
</sst>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;[Red]\(#,##0.00\);\-"/>
    <numFmt numFmtId="166" formatCode="0.000\x"/>
    <numFmt numFmtId="167" formatCode="0.000"/>
    <numFmt numFmtId="170" formatCode="0.0000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i/>
      <u/>
      <sz val="14"/>
      <name val="Calibri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Microsoft YaHei"/>
      <family val="2"/>
      <charset val="134"/>
    </font>
    <font>
      <b/>
      <sz val="11"/>
      <color theme="0"/>
      <name val="Microsoft YaHei"/>
      <family val="2"/>
      <charset val="134"/>
    </font>
    <font>
      <b/>
      <sz val="16"/>
      <color theme="0"/>
      <name val="Microsoft YaHei"/>
      <family val="2"/>
      <charset val="134"/>
    </font>
    <font>
      <sz val="11"/>
      <color theme="1"/>
      <name val="Microsoft YaHei"/>
      <family val="2"/>
      <charset val="134"/>
    </font>
    <font>
      <i/>
      <sz val="12"/>
      <color theme="0"/>
      <name val="Microsoft YaHei"/>
      <family val="2"/>
      <charset val="134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3F4F6"/>
      </patternFill>
    </fill>
    <fill>
      <patternFill patternType="solid">
        <fgColor rgb="FFFCE4D6"/>
      </patternFill>
    </fill>
    <fill>
      <patternFill patternType="solid">
        <fgColor rgb="FFEAF3FA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7">
    <border>
      <left/>
      <right/>
      <top/>
      <bottom/>
      <diagonal/>
    </border>
    <border>
      <left style="dashed">
        <color rgb="FFA6A6A6"/>
      </left>
      <right style="dashed">
        <color rgb="FFA6A6A6"/>
      </right>
      <top style="dashed">
        <color rgb="FFA6A6A6"/>
      </top>
      <bottom style="dashed">
        <color rgb="FFA6A6A6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  <border>
      <left style="thin">
        <color rgb="FF0F253F"/>
      </left>
      <right/>
      <top style="thin">
        <color rgb="FF0F253F"/>
      </top>
      <bottom/>
      <diagonal/>
    </border>
    <border>
      <left/>
      <right/>
      <top style="thin">
        <color rgb="FF0F253F"/>
      </top>
      <bottom/>
      <diagonal/>
    </border>
    <border>
      <left/>
      <right style="thin">
        <color rgb="FF0F253F"/>
      </right>
      <top style="thin">
        <color rgb="FF0F253F"/>
      </top>
      <bottom/>
      <diagonal/>
    </border>
    <border>
      <left style="thin">
        <color rgb="FF0F253F"/>
      </left>
      <right/>
      <top/>
      <bottom/>
      <diagonal/>
    </border>
    <border>
      <left/>
      <right style="thin">
        <color rgb="FF0F253F"/>
      </right>
      <top/>
      <bottom/>
      <diagonal/>
    </border>
    <border>
      <left style="thin">
        <color rgb="FF0F253F"/>
      </left>
      <right/>
      <top/>
      <bottom style="thin">
        <color rgb="FF0F253F"/>
      </bottom>
      <diagonal/>
    </border>
    <border>
      <left/>
      <right/>
      <top/>
      <bottom style="thin">
        <color rgb="FF0F253F"/>
      </bottom>
      <diagonal/>
    </border>
    <border>
      <left/>
      <right style="thin">
        <color rgb="FF0F253F"/>
      </right>
      <top/>
      <bottom style="thin">
        <color rgb="FF0F253F"/>
      </bottom>
      <diagonal/>
    </border>
    <border>
      <left style="mediumDashed">
        <color theme="0" tint="-4.9989318521683403E-2"/>
      </left>
      <right style="mediumDashed">
        <color theme="0" tint="-4.9989318521683403E-2"/>
      </right>
      <top/>
      <bottom/>
      <diagonal/>
    </border>
    <border>
      <left/>
      <right/>
      <top/>
      <bottom style="mediumDashed">
        <color theme="0" tint="-4.9989318521683403E-2"/>
      </bottom>
      <diagonal/>
    </border>
    <border>
      <left style="mediumDashed">
        <color theme="0" tint="-4.9989318521683403E-2"/>
      </left>
      <right style="mediumDashed">
        <color theme="0" tint="-4.9989318521683403E-2"/>
      </right>
      <top/>
      <bottom style="mediumDashed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3" xfId="0" applyBorder="1"/>
    <xf numFmtId="3" fontId="3" fillId="3" borderId="3" xfId="0" applyNumberFormat="1" applyFont="1" applyFill="1" applyBorder="1"/>
    <xf numFmtId="0" fontId="4" fillId="0" borderId="3" xfId="0" applyFont="1" applyBorder="1"/>
    <xf numFmtId="4" fontId="5" fillId="4" borderId="3" xfId="0" applyNumberFormat="1" applyFont="1" applyFill="1" applyBorder="1"/>
    <xf numFmtId="4" fontId="3" fillId="3" borderId="3" xfId="0" applyNumberFormat="1" applyFont="1" applyFill="1" applyBorder="1"/>
    <xf numFmtId="0" fontId="5" fillId="4" borderId="3" xfId="0" applyFont="1" applyFill="1" applyBorder="1"/>
    <xf numFmtId="164" fontId="5" fillId="4" borderId="3" xfId="0" applyNumberFormat="1" applyFont="1" applyFill="1" applyBorder="1"/>
    <xf numFmtId="3" fontId="5" fillId="4" borderId="3" xfId="0" applyNumberFormat="1" applyFont="1" applyFill="1" applyBorder="1"/>
    <xf numFmtId="165" fontId="5" fillId="4" borderId="3" xfId="0" applyNumberFormat="1" applyFont="1" applyFill="1" applyBorder="1"/>
    <xf numFmtId="164" fontId="3" fillId="3" borderId="3" xfId="0" applyNumberFormat="1" applyFont="1" applyFill="1" applyBorder="1"/>
    <xf numFmtId="0" fontId="7" fillId="8" borderId="2" xfId="0" applyFont="1" applyFill="1" applyBorder="1" applyAlignment="1">
      <alignment horizontal="center"/>
    </xf>
    <xf numFmtId="3" fontId="3" fillId="0" borderId="0" xfId="0" applyNumberFormat="1" applyFont="1" applyAlignment="1">
      <alignment horizontal="right"/>
    </xf>
    <xf numFmtId="164" fontId="5" fillId="4" borderId="0" xfId="0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8" borderId="0" xfId="0" applyNumberFormat="1" applyFont="1" applyFill="1" applyAlignment="1">
      <alignment horizontal="right"/>
    </xf>
    <xf numFmtId="165" fontId="5" fillId="4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6" fontId="3" fillId="0" borderId="0" xfId="0" applyNumberFormat="1" applyFont="1" applyAlignment="1">
      <alignment horizontal="right"/>
    </xf>
    <xf numFmtId="165" fontId="7" fillId="3" borderId="0" xfId="0" applyNumberFormat="1" applyFont="1" applyFill="1" applyAlignment="1">
      <alignment horizontal="right"/>
    </xf>
    <xf numFmtId="0" fontId="2" fillId="2" borderId="0" xfId="0" applyFont="1" applyFill="1"/>
    <xf numFmtId="165" fontId="8" fillId="5" borderId="0" xfId="0" applyNumberFormat="1" applyFont="1" applyFill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0" fontId="9" fillId="9" borderId="0" xfId="0" applyFont="1" applyFill="1"/>
    <xf numFmtId="2" fontId="9" fillId="0" borderId="0" xfId="0" applyNumberFormat="1" applyFont="1"/>
    <xf numFmtId="0" fontId="0" fillId="9" borderId="4" xfId="0" applyFill="1" applyBorder="1"/>
    <xf numFmtId="0" fontId="9" fillId="9" borderId="5" xfId="0" applyFont="1" applyFill="1" applyBorder="1"/>
    <xf numFmtId="0" fontId="9" fillId="9" borderId="6" xfId="0" applyFont="1" applyFill="1" applyBorder="1"/>
    <xf numFmtId="0" fontId="9" fillId="9" borderId="7" xfId="0" applyFont="1" applyFill="1" applyBorder="1"/>
    <xf numFmtId="2" fontId="0" fillId="0" borderId="8" xfId="0" applyNumberFormat="1" applyBorder="1"/>
    <xf numFmtId="0" fontId="9" fillId="9" borderId="9" xfId="0" applyFont="1" applyFill="1" applyBorder="1"/>
    <xf numFmtId="2" fontId="0" fillId="0" borderId="10" xfId="0" applyNumberFormat="1" applyBorder="1"/>
    <xf numFmtId="2" fontId="9" fillId="0" borderId="11" xfId="0" applyNumberFormat="1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 applyAlignment="1">
      <alignment wrapText="1"/>
    </xf>
    <xf numFmtId="0" fontId="2" fillId="2" borderId="0" xfId="0" applyFont="1" applyFill="1"/>
    <xf numFmtId="0" fontId="6" fillId="7" borderId="0" xfId="0" applyFont="1" applyFill="1" applyAlignment="1">
      <alignment vertical="top" wrapText="1"/>
    </xf>
    <xf numFmtId="0" fontId="2" fillId="2" borderId="0" xfId="0" applyFont="1" applyFill="1" applyAlignment="1">
      <alignment horizontal="left"/>
    </xf>
    <xf numFmtId="0" fontId="0" fillId="0" borderId="0" xfId="0" applyBorder="1"/>
    <xf numFmtId="0" fontId="5" fillId="4" borderId="0" xfId="0" applyFont="1" applyFill="1" applyBorder="1"/>
    <xf numFmtId="0" fontId="4" fillId="0" borderId="0" xfId="0" applyFont="1" applyBorder="1"/>
    <xf numFmtId="4" fontId="5" fillId="10" borderId="3" xfId="0" applyNumberFormat="1" applyFont="1" applyFill="1" applyBorder="1"/>
    <xf numFmtId="10" fontId="0" fillId="0" borderId="0" xfId="0" applyNumberFormat="1"/>
    <xf numFmtId="165" fontId="0" fillId="10" borderId="0" xfId="0" applyNumberFormat="1" applyFill="1"/>
    <xf numFmtId="9" fontId="0" fillId="0" borderId="0" xfId="0" applyNumberFormat="1"/>
    <xf numFmtId="9" fontId="0" fillId="10" borderId="0" xfId="0" applyNumberFormat="1" applyFill="1"/>
    <xf numFmtId="0" fontId="0" fillId="0" borderId="0" xfId="0" applyBorder="1" applyAlignment="1">
      <alignment horizontal="center"/>
    </xf>
    <xf numFmtId="0" fontId="11" fillId="11" borderId="0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2" fontId="12" fillId="11" borderId="0" xfId="0" applyNumberFormat="1" applyFont="1" applyFill="1" applyAlignment="1">
      <alignment horizontal="center" vertical="center"/>
    </xf>
    <xf numFmtId="2" fontId="12" fillId="11" borderId="12" xfId="0" applyNumberFormat="1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170" fontId="12" fillId="11" borderId="0" xfId="0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170" fontId="12" fillId="11" borderId="13" xfId="0" applyNumberFormat="1" applyFont="1" applyFill="1" applyBorder="1" applyAlignment="1">
      <alignment horizontal="center" vertical="center"/>
    </xf>
    <xf numFmtId="2" fontId="14" fillId="0" borderId="13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 wrapText="1"/>
    </xf>
    <xf numFmtId="165" fontId="16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F25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G市收费公路估值!$M$22</c:f>
              <c:strCache>
                <c:ptCount val="1"/>
                <c:pt idx="0">
                  <c:v>现值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C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G市收费公路估值!$L$23:$L$28</c:f>
              <c:strCache>
                <c:ptCount val="6"/>
                <c:pt idx="0">
                  <c:v>无CapEx支出时</c:v>
                </c:pt>
                <c:pt idx="1">
                  <c:v>CapEx发生在第1年</c:v>
                </c:pt>
                <c:pt idx="2">
                  <c:v>CapEx发生在第2年</c:v>
                </c:pt>
                <c:pt idx="3">
                  <c:v>CapEx发生在第3年</c:v>
                </c:pt>
                <c:pt idx="4">
                  <c:v>CapEx发生在第4年</c:v>
                </c:pt>
                <c:pt idx="5">
                  <c:v>CapEx发生在第5年</c:v>
                </c:pt>
              </c:strCache>
            </c:strRef>
          </c:cat>
          <c:val>
            <c:numRef>
              <c:f>G市收费公路估值!$M$23:$M$28</c:f>
              <c:numCache>
                <c:formatCode>0.00</c:formatCode>
                <c:ptCount val="6"/>
                <c:pt idx="0">
                  <c:v>21.762910257757106</c:v>
                </c:pt>
                <c:pt idx="1">
                  <c:v>20.554576924423777</c:v>
                </c:pt>
                <c:pt idx="2">
                  <c:v>20.644083097263284</c:v>
                </c:pt>
                <c:pt idx="3">
                  <c:v>20.726959183225787</c:v>
                </c:pt>
                <c:pt idx="4">
                  <c:v>20.803696299857734</c:v>
                </c:pt>
                <c:pt idx="5">
                  <c:v>20.874749185628062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D-3E41-AA11-03E831591FD1}"/>
            </c:ext>
          </c:extLst>
        </c:ser>
        <c:ser>
          <c:idx val="1"/>
          <c:order val="1"/>
          <c:tx>
            <c:strRef>
              <c:f>G市收费公路估值!$N$22</c:f>
              <c:strCache>
                <c:ptCount val="1"/>
                <c:pt idx="0">
                  <c:v>k年时的1.5亿元CapEx对现值的影响</c:v>
                </c:pt>
              </c:strCache>
            </c:strRef>
          </c:tx>
          <c:spPr>
            <a:solidFill>
              <a:schemeClr val="bg1">
                <a:lumMod val="65000"/>
                <a:alpha val="32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FD-3E41-AA11-03E831591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G市收费公路估值!$L$23:$L$28</c:f>
              <c:strCache>
                <c:ptCount val="6"/>
                <c:pt idx="0">
                  <c:v>无CapEx支出时</c:v>
                </c:pt>
                <c:pt idx="1">
                  <c:v>CapEx发生在第1年</c:v>
                </c:pt>
                <c:pt idx="2">
                  <c:v>CapEx发生在第2年</c:v>
                </c:pt>
                <c:pt idx="3">
                  <c:v>CapEx发生在第3年</c:v>
                </c:pt>
                <c:pt idx="4">
                  <c:v>CapEx发生在第4年</c:v>
                </c:pt>
                <c:pt idx="5">
                  <c:v>CapEx发生在第5年</c:v>
                </c:pt>
              </c:strCache>
            </c:strRef>
          </c:cat>
          <c:val>
            <c:numRef>
              <c:f>G市收费公路估值!$N$23:$N$28</c:f>
              <c:numCache>
                <c:formatCode>0.000</c:formatCode>
                <c:ptCount val="6"/>
                <c:pt idx="0" formatCode="General">
                  <c:v>0</c:v>
                </c:pt>
                <c:pt idx="1">
                  <c:v>1.2083333333333286</c:v>
                </c:pt>
                <c:pt idx="2">
                  <c:v>1.1188271604938222</c:v>
                </c:pt>
                <c:pt idx="3">
                  <c:v>1.0359510745313187</c:v>
                </c:pt>
                <c:pt idx="4">
                  <c:v>0.95921395789937236</c:v>
                </c:pt>
                <c:pt idx="5">
                  <c:v>0.88816107212904427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D-3E41-AA11-03E831591F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162704"/>
        <c:axId val="120164960"/>
      </c:barChart>
      <c:catAx>
        <c:axId val="12016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20164960"/>
        <c:crosses val="autoZero"/>
        <c:auto val="1"/>
        <c:lblAlgn val="ctr"/>
        <c:lblOffset val="100"/>
        <c:noMultiLvlLbl val="0"/>
      </c:catAx>
      <c:valAx>
        <c:axId val="120164960"/>
        <c:scaling>
          <c:orientation val="minMax"/>
          <c:max val="2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2016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C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en-US" sz="1800">
                <a:solidFill>
                  <a:srgbClr val="0F253F"/>
                </a:solidFill>
              </a:rPr>
              <a:t>OpEx</a:t>
            </a:r>
            <a:r>
              <a:rPr lang="en-US" sz="1800"/>
              <a:t>持续k年</a:t>
            </a:r>
            <a:r>
              <a:rPr lang="zh-CN" sz="1800"/>
              <a:t>，</a:t>
            </a:r>
            <a:r>
              <a:rPr lang="en-US" sz="1800"/>
              <a:t>至第5年对项目价值的影响</a:t>
            </a:r>
          </a:p>
          <a:p>
            <a:pPr>
              <a:defRPr sz="1800"/>
            </a:pPr>
            <a:r>
              <a:rPr lang="zh-CN" altLang="en-US" sz="1100" b="0" i="1"/>
              <a:t>（若</a:t>
            </a:r>
            <a:r>
              <a:rPr lang="en-US" altLang="zh-CN" sz="1100" b="0" i="1"/>
              <a:t>k=1</a:t>
            </a:r>
            <a:r>
              <a:rPr lang="zh-CN" altLang="en-US" sz="1100" b="0" i="1"/>
              <a:t>，即从第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年初起，持续</a:t>
            </a:r>
            <a:r>
              <a:rPr lang="en-US" altLang="zh-CN" sz="1100" b="0" i="1"/>
              <a:t>1</a:t>
            </a:r>
            <a:r>
              <a:rPr lang="zh-CN" altLang="en-US" sz="1100" b="0" i="1"/>
              <a:t>年，至第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年末，则只有第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年有</a:t>
            </a:r>
            <a:r>
              <a:rPr lang="en-US" altLang="zh-CN" sz="1100" b="0" i="1"/>
              <a:t>OpEx</a:t>
            </a:r>
            <a:r>
              <a:rPr lang="zh-CN" altLang="en-US" sz="1100" b="0" i="1"/>
              <a:t>）</a:t>
            </a:r>
            <a:endParaRPr lang="en-US" sz="11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G市收费公路估值!$Y$18</c:f>
              <c:strCache>
                <c:ptCount val="1"/>
                <c:pt idx="0">
                  <c:v>OpEx=0.1亿元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G市收费公路估值!$Z$17:$AE$17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G市收费公路估值!$Z$18:$AE$18</c:f>
              <c:numCache>
                <c:formatCode>0.00</c:formatCode>
                <c:ptCount val="6"/>
                <c:pt idx="0">
                  <c:v>21.762910257757106</c:v>
                </c:pt>
                <c:pt idx="1">
                  <c:v>21.703699519615171</c:v>
                </c:pt>
                <c:pt idx="2">
                  <c:v>21.63975192242188</c:v>
                </c:pt>
                <c:pt idx="3">
                  <c:v>21.570688517453128</c:v>
                </c:pt>
                <c:pt idx="4">
                  <c:v>21.496100040086873</c:v>
                </c:pt>
                <c:pt idx="5">
                  <c:v>21.415544484531317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9-EE4D-B795-11DDDED9306D}"/>
            </c:ext>
          </c:extLst>
        </c:ser>
        <c:ser>
          <c:idx val="1"/>
          <c:order val="1"/>
          <c:tx>
            <c:strRef>
              <c:f>G市收费公路估值!$Y$19</c:f>
              <c:strCache>
                <c:ptCount val="1"/>
                <c:pt idx="0">
                  <c:v>OpEx=0.3亿元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G市收费公路估值!$Z$17:$AE$17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G市收费公路估值!$Z$19:$AE$19</c:f>
              <c:numCache>
                <c:formatCode>0.00</c:formatCode>
                <c:ptCount val="6"/>
                <c:pt idx="0">
                  <c:v>21.762910257757106</c:v>
                </c:pt>
                <c:pt idx="1">
                  <c:v>21.5852780433313</c:v>
                </c:pt>
                <c:pt idx="2">
                  <c:v>21.393435251751427</c:v>
                </c:pt>
                <c:pt idx="3">
                  <c:v>21.186245036845161</c:v>
                </c:pt>
                <c:pt idx="4">
                  <c:v>20.962479604746395</c:v>
                </c:pt>
                <c:pt idx="5">
                  <c:v>20.720812938079732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9-EE4D-B795-11DDDED9306D}"/>
            </c:ext>
          </c:extLst>
        </c:ser>
        <c:ser>
          <c:idx val="2"/>
          <c:order val="2"/>
          <c:tx>
            <c:strRef>
              <c:f>G市收费公路估值!$Y$20</c:f>
              <c:strCache>
                <c:ptCount val="1"/>
                <c:pt idx="0">
                  <c:v>OpEx=0.5亿元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G市收费公路估值!$Z$17:$AE$17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G市收费公路估值!$Z$20:$AE$20</c:f>
              <c:numCache>
                <c:formatCode>0.00</c:formatCode>
                <c:ptCount val="6"/>
                <c:pt idx="0">
                  <c:v>21.762910257757106</c:v>
                </c:pt>
                <c:pt idx="1">
                  <c:v>21.466856567047426</c:v>
                </c:pt>
                <c:pt idx="2">
                  <c:v>21.147118581080971</c:v>
                </c:pt>
                <c:pt idx="3">
                  <c:v>20.801801556237194</c:v>
                </c:pt>
                <c:pt idx="4">
                  <c:v>20.428859169405918</c:v>
                </c:pt>
                <c:pt idx="5">
                  <c:v>20.026081391628143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9-EE4D-B795-11DDDED9306D}"/>
            </c:ext>
          </c:extLst>
        </c:ser>
        <c:ser>
          <c:idx val="3"/>
          <c:order val="3"/>
          <c:tx>
            <c:strRef>
              <c:f>G市收费公路估值!$Y$21</c:f>
              <c:strCache>
                <c:ptCount val="1"/>
                <c:pt idx="0">
                  <c:v>OpEx=0.7亿元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G市收费公路估值!$Z$17:$AE$17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G市收费公路估值!$Z$21:$AE$21</c:f>
              <c:numCache>
                <c:formatCode>0.00</c:formatCode>
                <c:ptCount val="6"/>
                <c:pt idx="0">
                  <c:v>21.762910257757106</c:v>
                </c:pt>
                <c:pt idx="1">
                  <c:v>21.348435090763552</c:v>
                </c:pt>
                <c:pt idx="2">
                  <c:v>20.900801910410511</c:v>
                </c:pt>
                <c:pt idx="3">
                  <c:v>20.417358075629227</c:v>
                </c:pt>
                <c:pt idx="4">
                  <c:v>19.89523873406544</c:v>
                </c:pt>
                <c:pt idx="5">
                  <c:v>19.331349845176554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C9-EE4D-B795-11DDDED9306D}"/>
            </c:ext>
          </c:extLst>
        </c:ser>
        <c:ser>
          <c:idx val="4"/>
          <c:order val="4"/>
          <c:tx>
            <c:strRef>
              <c:f>G市收费公路估值!$Y$22</c:f>
              <c:strCache>
                <c:ptCount val="1"/>
                <c:pt idx="0">
                  <c:v>OpEx=0.9亿元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G市收费公路估值!$Z$17:$AE$17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G市收费公路估值!$Z$22:$AE$22</c:f>
              <c:numCache>
                <c:formatCode>0.00</c:formatCode>
                <c:ptCount val="6"/>
                <c:pt idx="0">
                  <c:v>21.762910257757106</c:v>
                </c:pt>
                <c:pt idx="1">
                  <c:v>21.230013614479681</c:v>
                </c:pt>
                <c:pt idx="2">
                  <c:v>20.654485239740058</c:v>
                </c:pt>
                <c:pt idx="3">
                  <c:v>20.032914595021264</c:v>
                </c:pt>
                <c:pt idx="4">
                  <c:v>19.361618298724967</c:v>
                </c:pt>
                <c:pt idx="5">
                  <c:v>18.636618298724969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C9-EE4D-B795-11DDDED9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84752"/>
        <c:axId val="100761440"/>
      </c:lineChart>
      <c:catAx>
        <c:axId val="1013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2"/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00761440"/>
        <c:crosses val="autoZero"/>
        <c:auto val="1"/>
        <c:lblAlgn val="ctr"/>
        <c:lblOffset val="100"/>
        <c:noMultiLvlLbl val="0"/>
      </c:catAx>
      <c:valAx>
        <c:axId val="1007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Microsoft YaHei" panose="020B0503020204020204" pitchFamily="34" charset="-122"/>
                <a:cs typeface="Times New Roman" panose="02020603050405020304" pitchFamily="18" charset="0"/>
              </a:defRPr>
            </a:pPr>
            <a:endParaRPr lang="en-US"/>
          </a:p>
        </c:txPr>
        <c:crossAx val="101384752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'G市收费公路估值_价格-车流量调整模型'!$M$28</c:f>
              <c:strCache>
                <c:ptCount val="1"/>
                <c:pt idx="0">
                  <c:v>现值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C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'G市收费公路估值_价格-车流量调整模型'!$L$29:$L$34</c:f>
              <c:strCache>
                <c:ptCount val="6"/>
                <c:pt idx="0">
                  <c:v>无CapEx支出时</c:v>
                </c:pt>
                <c:pt idx="1">
                  <c:v>CapEx发生在第1年</c:v>
                </c:pt>
                <c:pt idx="2">
                  <c:v>CapEx发生在第2年</c:v>
                </c:pt>
                <c:pt idx="3">
                  <c:v>CapEx发生在第3年</c:v>
                </c:pt>
                <c:pt idx="4">
                  <c:v>CapEx发生在第4年</c:v>
                </c:pt>
                <c:pt idx="5">
                  <c:v>CapEx发生在第5年</c:v>
                </c:pt>
              </c:strCache>
            </c:strRef>
          </c:cat>
          <c:val>
            <c:numRef>
              <c:f>'G市收费公路估值_价格-车流量调整模型'!$M$29:$M$34</c:f>
              <c:numCache>
                <c:formatCode>0.00</c:formatCode>
                <c:ptCount val="6"/>
                <c:pt idx="0">
                  <c:v>21.762910257757106</c:v>
                </c:pt>
                <c:pt idx="1">
                  <c:v>20.554576924423777</c:v>
                </c:pt>
                <c:pt idx="2">
                  <c:v>20.644083097263284</c:v>
                </c:pt>
                <c:pt idx="3">
                  <c:v>20.726959183225787</c:v>
                </c:pt>
                <c:pt idx="4">
                  <c:v>20.803696299857734</c:v>
                </c:pt>
                <c:pt idx="5">
                  <c:v>20.874749185628062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D-2B44-A820-4FD278EED992}"/>
            </c:ext>
          </c:extLst>
        </c:ser>
        <c:ser>
          <c:idx val="1"/>
          <c:order val="1"/>
          <c:tx>
            <c:strRef>
              <c:f>'G市收费公路估值_价格-车流量调整模型'!$N$28</c:f>
              <c:strCache>
                <c:ptCount val="1"/>
                <c:pt idx="0">
                  <c:v>k年时的1.5亿元CapEx对现值的影响</c:v>
                </c:pt>
              </c:strCache>
            </c:strRef>
          </c:tx>
          <c:spPr>
            <a:solidFill>
              <a:schemeClr val="bg1">
                <a:lumMod val="65000"/>
                <a:alpha val="32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AD-2B44-A820-4FD278EED9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'G市收费公路估值_价格-车流量调整模型'!$L$29:$L$34</c:f>
              <c:strCache>
                <c:ptCount val="6"/>
                <c:pt idx="0">
                  <c:v>无CapEx支出时</c:v>
                </c:pt>
                <c:pt idx="1">
                  <c:v>CapEx发生在第1年</c:v>
                </c:pt>
                <c:pt idx="2">
                  <c:v>CapEx发生在第2年</c:v>
                </c:pt>
                <c:pt idx="3">
                  <c:v>CapEx发生在第3年</c:v>
                </c:pt>
                <c:pt idx="4">
                  <c:v>CapEx发生在第4年</c:v>
                </c:pt>
                <c:pt idx="5">
                  <c:v>CapEx发生在第5年</c:v>
                </c:pt>
              </c:strCache>
            </c:strRef>
          </c:cat>
          <c:val>
            <c:numRef>
              <c:f>'G市收费公路估值_价格-车流量调整模型'!$N$29:$N$34</c:f>
              <c:numCache>
                <c:formatCode>0.000</c:formatCode>
                <c:ptCount val="6"/>
                <c:pt idx="0" formatCode="General">
                  <c:v>0</c:v>
                </c:pt>
                <c:pt idx="1">
                  <c:v>1.2083333333333286</c:v>
                </c:pt>
                <c:pt idx="2">
                  <c:v>1.1188271604938222</c:v>
                </c:pt>
                <c:pt idx="3">
                  <c:v>1.0359510745313187</c:v>
                </c:pt>
                <c:pt idx="4">
                  <c:v>0.95921395789937236</c:v>
                </c:pt>
                <c:pt idx="5">
                  <c:v>0.88816107212904427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D-2B44-A820-4FD278EED9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162704"/>
        <c:axId val="120164960"/>
      </c:barChart>
      <c:catAx>
        <c:axId val="12016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20164960"/>
        <c:crosses val="autoZero"/>
        <c:auto val="1"/>
        <c:lblAlgn val="ctr"/>
        <c:lblOffset val="100"/>
        <c:noMultiLvlLbl val="0"/>
      </c:catAx>
      <c:valAx>
        <c:axId val="120164960"/>
        <c:scaling>
          <c:orientation val="minMax"/>
          <c:max val="2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2016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C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en-US" sz="1800">
                <a:solidFill>
                  <a:srgbClr val="0F253F"/>
                </a:solidFill>
              </a:rPr>
              <a:t>OpEx</a:t>
            </a:r>
            <a:r>
              <a:rPr lang="en-US" sz="1800"/>
              <a:t>持续k年</a:t>
            </a:r>
            <a:r>
              <a:rPr lang="zh-CN" sz="1800"/>
              <a:t>，</a:t>
            </a:r>
            <a:r>
              <a:rPr lang="en-US" sz="1800"/>
              <a:t>至第5年对项目价值的影响</a:t>
            </a:r>
          </a:p>
          <a:p>
            <a:pPr>
              <a:defRPr sz="1800"/>
            </a:pPr>
            <a:r>
              <a:rPr lang="zh-CN" altLang="en-US" sz="1100" b="0" i="1"/>
              <a:t>（若</a:t>
            </a:r>
            <a:r>
              <a:rPr lang="en-US" altLang="zh-CN" sz="1100" b="0" i="1"/>
              <a:t>k=1</a:t>
            </a:r>
            <a:r>
              <a:rPr lang="zh-CN" altLang="en-US" sz="1100" b="0" i="1"/>
              <a:t>，即从第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年初起，持续</a:t>
            </a:r>
            <a:r>
              <a:rPr lang="en-US" altLang="zh-CN" sz="1100" b="0" i="1"/>
              <a:t>1</a:t>
            </a:r>
            <a:r>
              <a:rPr lang="zh-CN" altLang="en-US" sz="1100" b="0" i="1"/>
              <a:t>年，至第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年末，则只有第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年有</a:t>
            </a:r>
            <a:r>
              <a:rPr lang="en-US" altLang="zh-CN" sz="1100" b="0" i="1"/>
              <a:t>OpEx</a:t>
            </a:r>
            <a:r>
              <a:rPr lang="zh-CN" altLang="en-US" sz="1100" b="0" i="1"/>
              <a:t>）</a:t>
            </a:r>
            <a:endParaRPr lang="en-US" sz="11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'G市收费公路估值_价格-车流量调整模型'!$Y$24</c:f>
              <c:strCache>
                <c:ptCount val="1"/>
                <c:pt idx="0">
                  <c:v>OpEx=0.1亿元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'G市收费公路估值_价格-车流量调整模型'!$Z$24:$AE$24</c:f>
              <c:numCache>
                <c:formatCode>0.00</c:formatCode>
                <c:ptCount val="6"/>
                <c:pt idx="0">
                  <c:v>4.256285537142503</c:v>
                </c:pt>
                <c:pt idx="1">
                  <c:v>4.1970747990005668</c:v>
                </c:pt>
                <c:pt idx="2">
                  <c:v>4.1331272018072758</c:v>
                </c:pt>
                <c:pt idx="3">
                  <c:v>4.0640637968385214</c:v>
                </c:pt>
                <c:pt idx="4">
                  <c:v>3.9894753194722661</c:v>
                </c:pt>
                <c:pt idx="5">
                  <c:v>3.9089197639167108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1-D749-ADF5-A1123CC092DF}"/>
            </c:ext>
          </c:extLst>
        </c:ser>
        <c:ser>
          <c:idx val="1"/>
          <c:order val="1"/>
          <c:tx>
            <c:strRef>
              <c:f>'G市收费公路估值_价格-车流量调整模型'!$Y$25</c:f>
              <c:strCache>
                <c:ptCount val="1"/>
                <c:pt idx="0">
                  <c:v>OpEx=0.3亿元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'G市收费公路估值_价格-车流量调整模型'!$Z$25:$AE$25</c:f>
              <c:numCache>
                <c:formatCode>0.00</c:formatCode>
                <c:ptCount val="6"/>
                <c:pt idx="0">
                  <c:v>4.256285537142503</c:v>
                </c:pt>
                <c:pt idx="1">
                  <c:v>4.0786533227166935</c:v>
                </c:pt>
                <c:pt idx="2">
                  <c:v>3.8868105311368204</c:v>
                </c:pt>
                <c:pt idx="3">
                  <c:v>3.6796203162305554</c:v>
                </c:pt>
                <c:pt idx="4">
                  <c:v>3.4558548841317895</c:v>
                </c:pt>
                <c:pt idx="5">
                  <c:v>3.2141882174651233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1-D749-ADF5-A1123CC092DF}"/>
            </c:ext>
          </c:extLst>
        </c:ser>
        <c:ser>
          <c:idx val="2"/>
          <c:order val="2"/>
          <c:tx>
            <c:strRef>
              <c:f>'G市收费公路估值_价格-车流量调整模型'!$Y$26</c:f>
              <c:strCache>
                <c:ptCount val="1"/>
                <c:pt idx="0">
                  <c:v>OpEx=0.5亿元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'G市收费公路估值_价格-车流量调整模型'!$Z$26:$AE$26</c:f>
              <c:numCache>
                <c:formatCode>0.00</c:formatCode>
                <c:ptCount val="6"/>
                <c:pt idx="0">
                  <c:v>4.256285537142503</c:v>
                </c:pt>
                <c:pt idx="1">
                  <c:v>3.9602318464328201</c:v>
                </c:pt>
                <c:pt idx="2">
                  <c:v>3.6404938604663633</c:v>
                </c:pt>
                <c:pt idx="3">
                  <c:v>3.2951768356225895</c:v>
                </c:pt>
                <c:pt idx="4">
                  <c:v>2.922234448791313</c:v>
                </c:pt>
                <c:pt idx="5">
                  <c:v>2.5194566710135353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D1-D749-ADF5-A1123CC092DF}"/>
            </c:ext>
          </c:extLst>
        </c:ser>
        <c:ser>
          <c:idx val="3"/>
          <c:order val="3"/>
          <c:tx>
            <c:strRef>
              <c:f>'G市收费公路估值_价格-车流量调整模型'!$Y$27</c:f>
              <c:strCache>
                <c:ptCount val="1"/>
                <c:pt idx="0">
                  <c:v>OpEx=0.7亿元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'G市收费公路估值_价格-车流量调整模型'!$Z$27:$AE$27</c:f>
              <c:numCache>
                <c:formatCode>0.00</c:formatCode>
                <c:ptCount val="6"/>
                <c:pt idx="0">
                  <c:v>4.256285537142503</c:v>
                </c:pt>
                <c:pt idx="1">
                  <c:v>3.8418103701489472</c:v>
                </c:pt>
                <c:pt idx="2">
                  <c:v>3.3941771897959074</c:v>
                </c:pt>
                <c:pt idx="3">
                  <c:v>2.910733355014623</c:v>
                </c:pt>
                <c:pt idx="4">
                  <c:v>2.3886140134508369</c:v>
                </c:pt>
                <c:pt idx="5">
                  <c:v>1.8247251245619482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D1-D749-ADF5-A1123CC092DF}"/>
            </c:ext>
          </c:extLst>
        </c:ser>
        <c:ser>
          <c:idx val="4"/>
          <c:order val="4"/>
          <c:tx>
            <c:strRef>
              <c:f>'G市收费公路估值_价格-车流量调整模型'!$Y$28</c:f>
              <c:strCache>
                <c:ptCount val="1"/>
                <c:pt idx="0">
                  <c:v>OpEx=0.9亿元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'G市收费公路估值_价格-车流量调整模型'!$Z$28:$AE$28</c:f>
              <c:numCache>
                <c:formatCode>0.00</c:formatCode>
                <c:ptCount val="6"/>
                <c:pt idx="0">
                  <c:v>4.256285537142503</c:v>
                </c:pt>
                <c:pt idx="1">
                  <c:v>3.7233888938650743</c:v>
                </c:pt>
                <c:pt idx="2">
                  <c:v>3.1478605191254512</c:v>
                </c:pt>
                <c:pt idx="3">
                  <c:v>2.526289874406658</c:v>
                </c:pt>
                <c:pt idx="4">
                  <c:v>1.8549935781103615</c:v>
                </c:pt>
                <c:pt idx="5">
                  <c:v>1.1299935781103612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D1-D749-ADF5-A1123CC09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84752"/>
        <c:axId val="100761440"/>
      </c:lineChart>
      <c:catAx>
        <c:axId val="1013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2"/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00761440"/>
        <c:crosses val="autoZero"/>
        <c:auto val="1"/>
        <c:lblAlgn val="ctr"/>
        <c:lblOffset val="100"/>
        <c:noMultiLvlLbl val="0"/>
      </c:catAx>
      <c:valAx>
        <c:axId val="1007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Microsoft YaHei" panose="020B0503020204020204" pitchFamily="34" charset="-122"/>
                <a:cs typeface="Times New Roman" panose="02020603050405020304" pitchFamily="18" charset="0"/>
              </a:defRPr>
            </a:pPr>
            <a:endParaRPr lang="en-US"/>
          </a:p>
        </c:txPr>
        <c:crossAx val="101384752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'G市收费公路估值_价格-车流量调整模型 - 临界点'!$M$28</c:f>
              <c:strCache>
                <c:ptCount val="1"/>
                <c:pt idx="0">
                  <c:v>现值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C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'G市收费公路估值_价格-车流量调整模型 - 临界点'!$L$29:$L$34</c:f>
              <c:strCache>
                <c:ptCount val="6"/>
                <c:pt idx="0">
                  <c:v>无CapEx支出时</c:v>
                </c:pt>
                <c:pt idx="1">
                  <c:v>CapEx发生在第1年</c:v>
                </c:pt>
                <c:pt idx="2">
                  <c:v>CapEx发生在第2年</c:v>
                </c:pt>
                <c:pt idx="3">
                  <c:v>CapEx发生在第3年</c:v>
                </c:pt>
                <c:pt idx="4">
                  <c:v>CapEx发生在第4年</c:v>
                </c:pt>
                <c:pt idx="5">
                  <c:v>CapEx发生在第5年</c:v>
                </c:pt>
              </c:strCache>
            </c:strRef>
          </c:cat>
          <c:val>
            <c:numRef>
              <c:f>'G市收费公路估值_价格-车流量调整模型 - 临界点'!$M$29:$M$34</c:f>
              <c:numCache>
                <c:formatCode>0.00</c:formatCode>
                <c:ptCount val="6"/>
                <c:pt idx="0">
                  <c:v>21.762910257757106</c:v>
                </c:pt>
                <c:pt idx="1">
                  <c:v>20.554576924423777</c:v>
                </c:pt>
                <c:pt idx="2">
                  <c:v>20.644083097263284</c:v>
                </c:pt>
                <c:pt idx="3">
                  <c:v>20.726959183225787</c:v>
                </c:pt>
                <c:pt idx="4">
                  <c:v>20.803696299857734</c:v>
                </c:pt>
                <c:pt idx="5">
                  <c:v>20.874749185628062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9-EB46-B7FC-D838C1A0766C}"/>
            </c:ext>
          </c:extLst>
        </c:ser>
        <c:ser>
          <c:idx val="1"/>
          <c:order val="1"/>
          <c:tx>
            <c:strRef>
              <c:f>'G市收费公路估值_价格-车流量调整模型 - 临界点'!$N$28</c:f>
              <c:strCache>
                <c:ptCount val="1"/>
                <c:pt idx="0">
                  <c:v>k年时的1.5亿元CapEx对现值的影响</c:v>
                </c:pt>
              </c:strCache>
            </c:strRef>
          </c:tx>
          <c:spPr>
            <a:solidFill>
              <a:schemeClr val="bg1">
                <a:lumMod val="65000"/>
                <a:alpha val="32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49-EB46-B7FC-D838C1A076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'G市收费公路估值_价格-车流量调整模型 - 临界点'!$L$29:$L$34</c:f>
              <c:strCache>
                <c:ptCount val="6"/>
                <c:pt idx="0">
                  <c:v>无CapEx支出时</c:v>
                </c:pt>
                <c:pt idx="1">
                  <c:v>CapEx发生在第1年</c:v>
                </c:pt>
                <c:pt idx="2">
                  <c:v>CapEx发生在第2年</c:v>
                </c:pt>
                <c:pt idx="3">
                  <c:v>CapEx发生在第3年</c:v>
                </c:pt>
                <c:pt idx="4">
                  <c:v>CapEx发生在第4年</c:v>
                </c:pt>
                <c:pt idx="5">
                  <c:v>CapEx发生在第5年</c:v>
                </c:pt>
              </c:strCache>
            </c:strRef>
          </c:cat>
          <c:val>
            <c:numRef>
              <c:f>'G市收费公路估值_价格-车流量调整模型 - 临界点'!$N$29:$N$34</c:f>
              <c:numCache>
                <c:formatCode>0.000</c:formatCode>
                <c:ptCount val="6"/>
                <c:pt idx="0" formatCode="General">
                  <c:v>0</c:v>
                </c:pt>
                <c:pt idx="1">
                  <c:v>1.2083333333333286</c:v>
                </c:pt>
                <c:pt idx="2">
                  <c:v>1.1188271604938222</c:v>
                </c:pt>
                <c:pt idx="3">
                  <c:v>1.0359510745313187</c:v>
                </c:pt>
                <c:pt idx="4">
                  <c:v>0.95921395789937236</c:v>
                </c:pt>
                <c:pt idx="5">
                  <c:v>0.88816107212904427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9-EB46-B7FC-D838C1A076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162704"/>
        <c:axId val="120164960"/>
      </c:barChart>
      <c:catAx>
        <c:axId val="12016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20164960"/>
        <c:crosses val="autoZero"/>
        <c:auto val="1"/>
        <c:lblAlgn val="ctr"/>
        <c:lblOffset val="100"/>
        <c:noMultiLvlLbl val="0"/>
      </c:catAx>
      <c:valAx>
        <c:axId val="120164960"/>
        <c:scaling>
          <c:orientation val="minMax"/>
          <c:max val="2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2016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C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en-US" sz="1800">
                <a:solidFill>
                  <a:srgbClr val="0F253F"/>
                </a:solidFill>
              </a:rPr>
              <a:t>OpEx</a:t>
            </a:r>
            <a:r>
              <a:rPr lang="en-US" sz="1800"/>
              <a:t>持续k年</a:t>
            </a:r>
            <a:r>
              <a:rPr lang="zh-CN" sz="1800"/>
              <a:t>，</a:t>
            </a:r>
            <a:r>
              <a:rPr lang="en-US" sz="1800"/>
              <a:t>至第5年对项目价值的影响</a:t>
            </a:r>
          </a:p>
          <a:p>
            <a:pPr>
              <a:defRPr sz="1800"/>
            </a:pPr>
            <a:r>
              <a:rPr lang="zh-CN" altLang="en-US" sz="1100" b="0" i="1"/>
              <a:t>（若</a:t>
            </a:r>
            <a:r>
              <a:rPr lang="en-US" altLang="zh-CN" sz="1100" b="0" i="1"/>
              <a:t>k=1</a:t>
            </a:r>
            <a:r>
              <a:rPr lang="zh-CN" altLang="en-US" sz="1100" b="0" i="1"/>
              <a:t>，即从第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年初起，持续</a:t>
            </a:r>
            <a:r>
              <a:rPr lang="en-US" altLang="zh-CN" sz="1100" b="0" i="1"/>
              <a:t>1</a:t>
            </a:r>
            <a:r>
              <a:rPr lang="zh-CN" altLang="en-US" sz="1100" b="0" i="1"/>
              <a:t>年，至第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年末，则只有第</a:t>
            </a:r>
            <a:r>
              <a:rPr lang="en-US" altLang="zh-CN" sz="1100" b="0" i="1"/>
              <a:t>5</a:t>
            </a:r>
            <a:r>
              <a:rPr lang="zh-CN" altLang="en-US" sz="1100" b="0" i="1"/>
              <a:t>年有</a:t>
            </a:r>
            <a:r>
              <a:rPr lang="en-US" altLang="zh-CN" sz="1100" b="0" i="1"/>
              <a:t>OpEx</a:t>
            </a:r>
            <a:r>
              <a:rPr lang="zh-CN" altLang="en-US" sz="1100" b="0" i="1"/>
              <a:t>）</a:t>
            </a:r>
            <a:endParaRPr lang="en-US" sz="11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'G市收费公路估值_价格-车流量调整模型 - 临界点'!$Y$24</c:f>
              <c:strCache>
                <c:ptCount val="1"/>
                <c:pt idx="0">
                  <c:v>OpEx=0.1亿元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 - 临界点'!$Z$23:$AE$23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 - 临界点'!$Z$24:$AE$24</c:f>
              <c:numCache>
                <c:formatCode>0.00</c:formatCode>
                <c:ptCount val="6"/>
                <c:pt idx="0">
                  <c:v>4.256285537142503</c:v>
                </c:pt>
                <c:pt idx="1">
                  <c:v>4.1970747990005668</c:v>
                </c:pt>
                <c:pt idx="2">
                  <c:v>4.1331272018072758</c:v>
                </c:pt>
                <c:pt idx="3">
                  <c:v>4.0640637968385214</c:v>
                </c:pt>
                <c:pt idx="4">
                  <c:v>3.9894753194722661</c:v>
                </c:pt>
                <c:pt idx="5">
                  <c:v>3.9089197639167108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6-A24E-9E05-736E35DE2FA9}"/>
            </c:ext>
          </c:extLst>
        </c:ser>
        <c:ser>
          <c:idx val="1"/>
          <c:order val="1"/>
          <c:tx>
            <c:strRef>
              <c:f>'G市收费公路估值_价格-车流量调整模型 - 临界点'!$Y$25</c:f>
              <c:strCache>
                <c:ptCount val="1"/>
                <c:pt idx="0">
                  <c:v>OpEx=0.3亿元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 - 临界点'!$Z$23:$AE$23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 - 临界点'!$Z$25:$AE$25</c:f>
              <c:numCache>
                <c:formatCode>0.00</c:formatCode>
                <c:ptCount val="6"/>
                <c:pt idx="0">
                  <c:v>4.256285537142503</c:v>
                </c:pt>
                <c:pt idx="1">
                  <c:v>4.0786533227166935</c:v>
                </c:pt>
                <c:pt idx="2">
                  <c:v>3.8868105311368204</c:v>
                </c:pt>
                <c:pt idx="3">
                  <c:v>3.6796203162305554</c:v>
                </c:pt>
                <c:pt idx="4">
                  <c:v>3.4558548841317895</c:v>
                </c:pt>
                <c:pt idx="5">
                  <c:v>3.2141882174651233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6-A24E-9E05-736E35DE2FA9}"/>
            </c:ext>
          </c:extLst>
        </c:ser>
        <c:ser>
          <c:idx val="2"/>
          <c:order val="2"/>
          <c:tx>
            <c:strRef>
              <c:f>'G市收费公路估值_价格-车流量调整模型 - 临界点'!$Y$26</c:f>
              <c:strCache>
                <c:ptCount val="1"/>
                <c:pt idx="0">
                  <c:v>OpEx=0.5亿元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 - 临界点'!$Z$23:$AE$23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 - 临界点'!$Z$26:$AE$26</c:f>
              <c:numCache>
                <c:formatCode>0.00</c:formatCode>
                <c:ptCount val="6"/>
                <c:pt idx="0">
                  <c:v>4.256285537142503</c:v>
                </c:pt>
                <c:pt idx="1">
                  <c:v>3.9602318464328201</c:v>
                </c:pt>
                <c:pt idx="2">
                  <c:v>3.6404938604663633</c:v>
                </c:pt>
                <c:pt idx="3">
                  <c:v>3.2951768356225895</c:v>
                </c:pt>
                <c:pt idx="4">
                  <c:v>2.922234448791313</c:v>
                </c:pt>
                <c:pt idx="5">
                  <c:v>2.5194566710135353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16-A24E-9E05-736E35DE2FA9}"/>
            </c:ext>
          </c:extLst>
        </c:ser>
        <c:ser>
          <c:idx val="3"/>
          <c:order val="3"/>
          <c:tx>
            <c:strRef>
              <c:f>'G市收费公路估值_价格-车流量调整模型 - 临界点'!$Y$27</c:f>
              <c:strCache>
                <c:ptCount val="1"/>
                <c:pt idx="0">
                  <c:v>OpEx=0.7亿元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 - 临界点'!$Z$23:$AE$23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 - 临界点'!$Z$27:$AE$27</c:f>
              <c:numCache>
                <c:formatCode>0.00</c:formatCode>
                <c:ptCount val="6"/>
                <c:pt idx="0">
                  <c:v>4.256285537142503</c:v>
                </c:pt>
                <c:pt idx="1">
                  <c:v>3.8418103701489472</c:v>
                </c:pt>
                <c:pt idx="2">
                  <c:v>3.3941771897959074</c:v>
                </c:pt>
                <c:pt idx="3">
                  <c:v>2.910733355014623</c:v>
                </c:pt>
                <c:pt idx="4">
                  <c:v>2.3886140134508369</c:v>
                </c:pt>
                <c:pt idx="5">
                  <c:v>1.8247251245619482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16-A24E-9E05-736E35DE2FA9}"/>
            </c:ext>
          </c:extLst>
        </c:ser>
        <c:ser>
          <c:idx val="4"/>
          <c:order val="4"/>
          <c:tx>
            <c:strRef>
              <c:f>'G市收费公路估值_价格-车流量调整模型 - 临界点'!$Y$28</c:f>
              <c:strCache>
                <c:ptCount val="1"/>
                <c:pt idx="0">
                  <c:v>OpEx=0.9亿元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'G市收费公路估值_价格-车流量调整模型 - 临界点'!$Z$23:$AE$23</c:f>
              <c:strCache>
                <c:ptCount val="6"/>
                <c:pt idx="0">
                  <c:v>OpEx未发生</c:v>
                </c:pt>
                <c:pt idx="1">
                  <c:v>持续1年</c:v>
                </c:pt>
                <c:pt idx="2">
                  <c:v>持续2年</c:v>
                </c:pt>
                <c:pt idx="3">
                  <c:v>持续3年</c:v>
                </c:pt>
                <c:pt idx="4">
                  <c:v>持续4年</c:v>
                </c:pt>
                <c:pt idx="5">
                  <c:v>持续5年</c:v>
                </c:pt>
              </c:strCache>
            </c:strRef>
          </c:cat>
          <c:val>
            <c:numRef>
              <c:f>'G市收费公路估值_价格-车流量调整模型 - 临界点'!$Z$28:$AE$28</c:f>
              <c:numCache>
                <c:formatCode>0.00</c:formatCode>
                <c:ptCount val="6"/>
                <c:pt idx="0">
                  <c:v>4.256285537142503</c:v>
                </c:pt>
                <c:pt idx="1">
                  <c:v>3.7233888938650743</c:v>
                </c:pt>
                <c:pt idx="2">
                  <c:v>3.1478605191254512</c:v>
                </c:pt>
                <c:pt idx="3">
                  <c:v>2.526289874406658</c:v>
                </c:pt>
                <c:pt idx="4">
                  <c:v>1.8549935781103615</c:v>
                </c:pt>
                <c:pt idx="5">
                  <c:v>1.1299935781103612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16-A24E-9E05-736E35DE2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84752"/>
        <c:axId val="100761440"/>
      </c:lineChart>
      <c:catAx>
        <c:axId val="1013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2"/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00761440"/>
        <c:crosses val="autoZero"/>
        <c:auto val="1"/>
        <c:lblAlgn val="ctr"/>
        <c:lblOffset val="100"/>
        <c:noMultiLvlLbl val="0"/>
      </c:catAx>
      <c:valAx>
        <c:axId val="1007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Microsoft YaHei" panose="020B0503020204020204" pitchFamily="34" charset="-122"/>
                <a:cs typeface="Times New Roman" panose="02020603050405020304" pitchFamily="18" charset="0"/>
              </a:defRPr>
            </a:pPr>
            <a:endParaRPr lang="en-US"/>
          </a:p>
        </c:txPr>
        <c:crossAx val="101384752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 altLang="en-US" sz="2400" b="1"/>
              <a:t>不同客车基准价格与价格弹性系数组合下的项目价值变化路径</a:t>
            </a:r>
            <a:endParaRPr lang="zh-CN" altLang="en-US" sz="2400"/>
          </a:p>
        </c:rich>
      </c:tx>
      <c:layout>
        <c:manualLayout>
          <c:xMode val="edge"/>
          <c:yMode val="edge"/>
          <c:x val="0.33803040662374989"/>
          <c:y val="0.2405724142483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1729949398896199E-2"/>
          <c:y val="0.23264564111682215"/>
          <c:w val="0.94432613843506708"/>
          <c:h val="0.69647044169095851"/>
        </c:manualLayout>
      </c:layout>
      <c:lineChart>
        <c:grouping val="standard"/>
        <c:varyColors val="0"/>
        <c:ser>
          <c:idx val="0"/>
          <c:order val="0"/>
          <c:tx>
            <c:strRef>
              <c:f>Sheet1!$E$87</c:f>
              <c:strCache>
                <c:ptCount val="1"/>
                <c:pt idx="0">
                  <c:v>客车价格弹性系数 = 0.850</c:v>
                </c:pt>
              </c:strCache>
            </c:strRef>
          </c:tx>
          <c:spPr>
            <a:ln w="28575" cap="rnd">
              <a:solidFill>
                <a:schemeClr val="accent1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Sheet1!$F$87:$AH$87</c:f>
              <c:numCache>
                <c:formatCode>0.00</c:formatCode>
                <c:ptCount val="29"/>
                <c:pt idx="0">
                  <c:v>61.594509831814577</c:v>
                </c:pt>
                <c:pt idx="1">
                  <c:v>62.181305385424707</c:v>
                </c:pt>
                <c:pt idx="2">
                  <c:v>62.622743436976805</c:v>
                </c:pt>
                <c:pt idx="3">
                  <c:v>62.918823986470855</c:v>
                </c:pt>
                <c:pt idx="4">
                  <c:v>63.069547033906872</c:v>
                </c:pt>
                <c:pt idx="5">
                  <c:v>63.074912579284842</c:v>
                </c:pt>
                <c:pt idx="6">
                  <c:v>62.934920622604793</c:v>
                </c:pt>
                <c:pt idx="7">
                  <c:v>62.649571163866703</c:v>
                </c:pt>
                <c:pt idx="8">
                  <c:v>62.218864203070574</c:v>
                </c:pt>
                <c:pt idx="9">
                  <c:v>61.642799740216404</c:v>
                </c:pt>
                <c:pt idx="10">
                  <c:v>60.921377775304201</c:v>
                </c:pt>
                <c:pt idx="11">
                  <c:v>60.054598308333965</c:v>
                </c:pt>
                <c:pt idx="12">
                  <c:v>59.042461339305675</c:v>
                </c:pt>
                <c:pt idx="13">
                  <c:v>57.884966868219351</c:v>
                </c:pt>
                <c:pt idx="14">
                  <c:v>56.582114895074994</c:v>
                </c:pt>
                <c:pt idx="15">
                  <c:v>55.133905419872626</c:v>
                </c:pt>
                <c:pt idx="16">
                  <c:v>53.54033844261221</c:v>
                </c:pt>
                <c:pt idx="17">
                  <c:v>51.80141396329374</c:v>
                </c:pt>
                <c:pt idx="18">
                  <c:v>49.917131981917237</c:v>
                </c:pt>
                <c:pt idx="19">
                  <c:v>47.887492498482693</c:v>
                </c:pt>
                <c:pt idx="20">
                  <c:v>45.712495512990117</c:v>
                </c:pt>
                <c:pt idx="21">
                  <c:v>43.392141025439457</c:v>
                </c:pt>
                <c:pt idx="22">
                  <c:v>40.926429035830807</c:v>
                </c:pt>
                <c:pt idx="23">
                  <c:v>38.31535954416411</c:v>
                </c:pt>
                <c:pt idx="24">
                  <c:v>35.55893255043938</c:v>
                </c:pt>
                <c:pt idx="25">
                  <c:v>32.657148054656602</c:v>
                </c:pt>
                <c:pt idx="26">
                  <c:v>29.610006056815806</c:v>
                </c:pt>
                <c:pt idx="27">
                  <c:v>26.417506556916958</c:v>
                </c:pt>
                <c:pt idx="28">
                  <c:v>23.079649554960078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6-1641-9325-5B869F78D8AF}"/>
            </c:ext>
          </c:extLst>
        </c:ser>
        <c:ser>
          <c:idx val="1"/>
          <c:order val="1"/>
          <c:tx>
            <c:strRef>
              <c:f>Sheet1!$E$88</c:f>
              <c:strCache>
                <c:ptCount val="1"/>
                <c:pt idx="0">
                  <c:v>客车价格弹性系数 = 0.825</c:v>
                </c:pt>
              </c:strCache>
            </c:strRef>
          </c:tx>
          <c:spPr>
            <a:ln w="28575" cap="rnd">
              <a:solidFill>
                <a:schemeClr val="accent1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Sheet1!$F$88:$AH$88</c:f>
              <c:numCache>
                <c:formatCode>0.00</c:formatCode>
                <c:ptCount val="29"/>
                <c:pt idx="0">
                  <c:v>62.407146068152478</c:v>
                </c:pt>
                <c:pt idx="1">
                  <c:v>62.913702329519147</c:v>
                </c:pt>
                <c:pt idx="2">
                  <c:v>63.278315526795602</c:v>
                </c:pt>
                <c:pt idx="3">
                  <c:v>63.500985659981829</c:v>
                </c:pt>
                <c:pt idx="4">
                  <c:v>63.581712729077815</c:v>
                </c:pt>
                <c:pt idx="5">
                  <c:v>63.520496734083572</c:v>
                </c:pt>
                <c:pt idx="6">
                  <c:v>63.317337674999095</c:v>
                </c:pt>
                <c:pt idx="7">
                  <c:v>62.972235551824397</c:v>
                </c:pt>
                <c:pt idx="8">
                  <c:v>62.485190364559465</c:v>
                </c:pt>
                <c:pt idx="9">
                  <c:v>61.85620211320429</c:v>
                </c:pt>
                <c:pt idx="10">
                  <c:v>61.085270797758895</c:v>
                </c:pt>
                <c:pt idx="11">
                  <c:v>60.172396418223272</c:v>
                </c:pt>
                <c:pt idx="12">
                  <c:v>59.117578974597407</c:v>
                </c:pt>
                <c:pt idx="13">
                  <c:v>57.920818466881329</c:v>
                </c:pt>
                <c:pt idx="14">
                  <c:v>56.582114895074994</c:v>
                </c:pt>
                <c:pt idx="15">
                  <c:v>55.101468259178482</c:v>
                </c:pt>
                <c:pt idx="16">
                  <c:v>53.478878559191699</c:v>
                </c:pt>
                <c:pt idx="17">
                  <c:v>51.714345795114681</c:v>
                </c:pt>
                <c:pt idx="18">
                  <c:v>49.807869966947436</c:v>
                </c:pt>
                <c:pt idx="19">
                  <c:v>47.759451074689963</c:v>
                </c:pt>
                <c:pt idx="20">
                  <c:v>45.569089118342269</c:v>
                </c:pt>
                <c:pt idx="21">
                  <c:v>43.236784097904277</c:v>
                </c:pt>
                <c:pt idx="22">
                  <c:v>40.762536013376106</c:v>
                </c:pt>
                <c:pt idx="23">
                  <c:v>38.146344864757694</c:v>
                </c:pt>
                <c:pt idx="24">
                  <c:v>35.388210652049068</c:v>
                </c:pt>
                <c:pt idx="25">
                  <c:v>32.488133375250186</c:v>
                </c:pt>
                <c:pt idx="26">
                  <c:v>29.446113034361098</c:v>
                </c:pt>
                <c:pt idx="27">
                  <c:v>26.262149629381774</c:v>
                </c:pt>
                <c:pt idx="28">
                  <c:v>22.936243160312216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6-1641-9325-5B869F78D8AF}"/>
            </c:ext>
          </c:extLst>
        </c:ser>
        <c:ser>
          <c:idx val="2"/>
          <c:order val="2"/>
          <c:tx>
            <c:strRef>
              <c:f>Sheet1!$E$89</c:f>
              <c:strCache>
                <c:ptCount val="1"/>
                <c:pt idx="0">
                  <c:v>客车价格弹性系数 = 0.800</c:v>
                </c:pt>
              </c:strCache>
            </c:strRef>
          </c:tx>
          <c:spPr>
            <a:ln w="28575" cap="rnd">
              <a:solidFill>
                <a:schemeClr val="accent1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Sheet1!$F$89:$AH$89</c:f>
              <c:numCache>
                <c:formatCode>0.00</c:formatCode>
                <c:ptCount val="29"/>
                <c:pt idx="0">
                  <c:v>63.219782304490352</c:v>
                </c:pt>
                <c:pt idx="1">
                  <c:v>63.646099273613586</c:v>
                </c:pt>
                <c:pt idx="2">
                  <c:v>63.933887616614399</c:v>
                </c:pt>
                <c:pt idx="3">
                  <c:v>64.083147333492789</c:v>
                </c:pt>
                <c:pt idx="4">
                  <c:v>64.093878424248743</c:v>
                </c:pt>
                <c:pt idx="5">
                  <c:v>63.966080888882281</c:v>
                </c:pt>
                <c:pt idx="6">
                  <c:v>63.69975472739339</c:v>
                </c:pt>
                <c:pt idx="7">
                  <c:v>63.294899939782084</c:v>
                </c:pt>
                <c:pt idx="8">
                  <c:v>62.751516526048349</c:v>
                </c:pt>
                <c:pt idx="9">
                  <c:v>62.069604486192191</c:v>
                </c:pt>
                <c:pt idx="10">
                  <c:v>61.249163820213603</c:v>
                </c:pt>
                <c:pt idx="11">
                  <c:v>60.290194528112593</c:v>
                </c:pt>
                <c:pt idx="12">
                  <c:v>59.192696609889154</c:v>
                </c:pt>
                <c:pt idx="13">
                  <c:v>57.956670065543285</c:v>
                </c:pt>
                <c:pt idx="14">
                  <c:v>56.582114895074994</c:v>
                </c:pt>
                <c:pt idx="15">
                  <c:v>55.069031098484317</c:v>
                </c:pt>
                <c:pt idx="16">
                  <c:v>53.417418675771174</c:v>
                </c:pt>
                <c:pt idx="17">
                  <c:v>51.627277626935616</c:v>
                </c:pt>
                <c:pt idx="18">
                  <c:v>49.698607951977635</c:v>
                </c:pt>
                <c:pt idx="19">
                  <c:v>47.631409650897233</c:v>
                </c:pt>
                <c:pt idx="20">
                  <c:v>45.425682723694408</c:v>
                </c:pt>
                <c:pt idx="21">
                  <c:v>43.081427170369082</c:v>
                </c:pt>
                <c:pt idx="22">
                  <c:v>40.598642990921405</c:v>
                </c:pt>
                <c:pt idx="23">
                  <c:v>37.977330185351285</c:v>
                </c:pt>
                <c:pt idx="24">
                  <c:v>35.217488753658749</c:v>
                </c:pt>
                <c:pt idx="25">
                  <c:v>32.319118695843784</c:v>
                </c:pt>
                <c:pt idx="26">
                  <c:v>29.2822200119064</c:v>
                </c:pt>
                <c:pt idx="27">
                  <c:v>26.10679270184659</c:v>
                </c:pt>
                <c:pt idx="28">
                  <c:v>22.792836765664354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6-1641-9325-5B869F78D8AF}"/>
            </c:ext>
          </c:extLst>
        </c:ser>
        <c:ser>
          <c:idx val="3"/>
          <c:order val="3"/>
          <c:tx>
            <c:strRef>
              <c:f>Sheet1!$E$90</c:f>
              <c:strCache>
                <c:ptCount val="1"/>
                <c:pt idx="0">
                  <c:v>客车价格弹性系数 = 0.775</c:v>
                </c:pt>
              </c:strCache>
            </c:strRef>
          </c:tx>
          <c:spPr>
            <a:ln w="28575" cap="rnd">
              <a:solidFill>
                <a:schemeClr val="accent1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Sheet1!$F$90:$AH$90</c:f>
              <c:numCache>
                <c:formatCode>0.00</c:formatCode>
                <c:ptCount val="29"/>
                <c:pt idx="0">
                  <c:v>64.032418540828246</c:v>
                </c:pt>
                <c:pt idx="1">
                  <c:v>64.378496217708033</c:v>
                </c:pt>
                <c:pt idx="2">
                  <c:v>64.589459706433203</c:v>
                </c:pt>
                <c:pt idx="3">
                  <c:v>64.665309007003756</c:v>
                </c:pt>
                <c:pt idx="4">
                  <c:v>64.606044119419693</c:v>
                </c:pt>
                <c:pt idx="5">
                  <c:v>64.411665043680998</c:v>
                </c:pt>
                <c:pt idx="6">
                  <c:v>64.0821717797877</c:v>
                </c:pt>
                <c:pt idx="7">
                  <c:v>63.617564327739778</c:v>
                </c:pt>
                <c:pt idx="8">
                  <c:v>63.017842687537239</c:v>
                </c:pt>
                <c:pt idx="9">
                  <c:v>62.283006859180077</c:v>
                </c:pt>
                <c:pt idx="10">
                  <c:v>61.413056842668311</c:v>
                </c:pt>
                <c:pt idx="11">
                  <c:v>60.4079926380019</c:v>
                </c:pt>
                <c:pt idx="12">
                  <c:v>59.267814245180887</c:v>
                </c:pt>
                <c:pt idx="13">
                  <c:v>57.992521664205256</c:v>
                </c:pt>
                <c:pt idx="14">
                  <c:v>56.582114895074994</c:v>
                </c:pt>
                <c:pt idx="15">
                  <c:v>55.036593937790151</c:v>
                </c:pt>
                <c:pt idx="16">
                  <c:v>53.35595879235067</c:v>
                </c:pt>
                <c:pt idx="17">
                  <c:v>51.540209458756564</c:v>
                </c:pt>
                <c:pt idx="18">
                  <c:v>49.589345937007835</c:v>
                </c:pt>
                <c:pt idx="19">
                  <c:v>47.503368227104488</c:v>
                </c:pt>
                <c:pt idx="20">
                  <c:v>45.282276329046539</c:v>
                </c:pt>
                <c:pt idx="21">
                  <c:v>42.926070242833909</c:v>
                </c:pt>
                <c:pt idx="22">
                  <c:v>40.434749968466704</c:v>
                </c:pt>
                <c:pt idx="23">
                  <c:v>37.808315505944876</c:v>
                </c:pt>
                <c:pt idx="24">
                  <c:v>35.046766855268437</c:v>
                </c:pt>
                <c:pt idx="25">
                  <c:v>32.150104016437375</c:v>
                </c:pt>
                <c:pt idx="26">
                  <c:v>29.118326989451695</c:v>
                </c:pt>
                <c:pt idx="27">
                  <c:v>25.951435774311403</c:v>
                </c:pt>
                <c:pt idx="28">
                  <c:v>22.649430371016493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6-1641-9325-5B869F78D8AF}"/>
            </c:ext>
          </c:extLst>
        </c:ser>
        <c:ser>
          <c:idx val="4"/>
          <c:order val="4"/>
          <c:tx>
            <c:strRef>
              <c:f>Sheet1!$E$91</c:f>
              <c:strCache>
                <c:ptCount val="1"/>
                <c:pt idx="0">
                  <c:v>客车价格弹性系数 = 0.750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Sheet1!$F$91:$AH$91</c:f>
              <c:numCache>
                <c:formatCode>0.00</c:formatCode>
                <c:ptCount val="29"/>
                <c:pt idx="0">
                  <c:v>64.845054777166141</c:v>
                </c:pt>
                <c:pt idx="1">
                  <c:v>65.110893161802466</c:v>
                </c:pt>
                <c:pt idx="2">
                  <c:v>65.245031796252007</c:v>
                </c:pt>
                <c:pt idx="3">
                  <c:v>65.247470680514709</c:v>
                </c:pt>
                <c:pt idx="4">
                  <c:v>65.118209814590628</c:v>
                </c:pt>
                <c:pt idx="5">
                  <c:v>64.857249198479721</c:v>
                </c:pt>
                <c:pt idx="6">
                  <c:v>64.464588832182002</c:v>
                </c:pt>
                <c:pt idx="7">
                  <c:v>63.940228715697472</c:v>
                </c:pt>
                <c:pt idx="8">
                  <c:v>63.28416884902613</c:v>
                </c:pt>
                <c:pt idx="9">
                  <c:v>62.496409232167963</c:v>
                </c:pt>
                <c:pt idx="10">
                  <c:v>61.576949865123005</c:v>
                </c:pt>
                <c:pt idx="11">
                  <c:v>60.525790747891214</c:v>
                </c:pt>
                <c:pt idx="12">
                  <c:v>59.342931880472626</c:v>
                </c:pt>
                <c:pt idx="13">
                  <c:v>58.02837326286722</c:v>
                </c:pt>
                <c:pt idx="14">
                  <c:v>56.582114895074994</c:v>
                </c:pt>
                <c:pt idx="15">
                  <c:v>55.004156777096</c:v>
                </c:pt>
                <c:pt idx="16">
                  <c:v>53.294498908930152</c:v>
                </c:pt>
                <c:pt idx="17">
                  <c:v>51.453141290577506</c:v>
                </c:pt>
                <c:pt idx="18">
                  <c:v>49.480083922038034</c:v>
                </c:pt>
                <c:pt idx="19">
                  <c:v>47.375326803311765</c:v>
                </c:pt>
                <c:pt idx="20">
                  <c:v>45.138869934398677</c:v>
                </c:pt>
                <c:pt idx="21">
                  <c:v>42.770713315298721</c:v>
                </c:pt>
                <c:pt idx="22">
                  <c:v>40.270856946012003</c:v>
                </c:pt>
                <c:pt idx="23">
                  <c:v>37.639300826538474</c:v>
                </c:pt>
                <c:pt idx="24">
                  <c:v>34.876044956878133</c:v>
                </c:pt>
                <c:pt idx="25">
                  <c:v>31.981089337030966</c:v>
                </c:pt>
                <c:pt idx="26">
                  <c:v>28.954433966996998</c:v>
                </c:pt>
                <c:pt idx="27">
                  <c:v>25.796078846776219</c:v>
                </c:pt>
                <c:pt idx="28">
                  <c:v>22.506023976368628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6-1641-9325-5B869F78D8AF}"/>
            </c:ext>
          </c:extLst>
        </c:ser>
        <c:ser>
          <c:idx val="5"/>
          <c:order val="5"/>
          <c:tx>
            <c:strRef>
              <c:f>Sheet1!$E$92</c:f>
              <c:strCache>
                <c:ptCount val="1"/>
                <c:pt idx="0">
                  <c:v>客车价格弹性系数 = 0.725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Sheet1!$F$92:$AH$92</c:f>
              <c:numCache>
                <c:formatCode>0.00</c:formatCode>
                <c:ptCount val="29"/>
                <c:pt idx="0">
                  <c:v>65.657691013504021</c:v>
                </c:pt>
                <c:pt idx="1">
                  <c:v>65.843290105896912</c:v>
                </c:pt>
                <c:pt idx="2">
                  <c:v>65.900603886070797</c:v>
                </c:pt>
                <c:pt idx="3">
                  <c:v>65.829632354025676</c:v>
                </c:pt>
                <c:pt idx="4">
                  <c:v>65.630375509761564</c:v>
                </c:pt>
                <c:pt idx="5">
                  <c:v>65.302833353278444</c:v>
                </c:pt>
                <c:pt idx="6">
                  <c:v>64.847005884576291</c:v>
                </c:pt>
                <c:pt idx="7">
                  <c:v>64.262893103655159</c:v>
                </c:pt>
                <c:pt idx="8">
                  <c:v>63.550495010515007</c:v>
                </c:pt>
                <c:pt idx="9">
                  <c:v>62.709811605155863</c:v>
                </c:pt>
                <c:pt idx="10">
                  <c:v>61.740842887577699</c:v>
                </c:pt>
                <c:pt idx="11">
                  <c:v>60.643588857780536</c:v>
                </c:pt>
                <c:pt idx="12">
                  <c:v>59.418049515764366</c:v>
                </c:pt>
                <c:pt idx="13">
                  <c:v>58.064224861529176</c:v>
                </c:pt>
                <c:pt idx="14">
                  <c:v>56.582114895074994</c:v>
                </c:pt>
                <c:pt idx="15">
                  <c:v>54.971719616401835</c:v>
                </c:pt>
                <c:pt idx="16">
                  <c:v>53.233039025509648</c:v>
                </c:pt>
                <c:pt idx="17">
                  <c:v>51.36607312239844</c:v>
                </c:pt>
                <c:pt idx="18">
                  <c:v>49.370821907068233</c:v>
                </c:pt>
                <c:pt idx="19">
                  <c:v>47.247285379519028</c:v>
                </c:pt>
                <c:pt idx="20">
                  <c:v>44.995463539750808</c:v>
                </c:pt>
                <c:pt idx="21">
                  <c:v>42.615356387763541</c:v>
                </c:pt>
                <c:pt idx="22">
                  <c:v>40.106963923557302</c:v>
                </c:pt>
                <c:pt idx="23">
                  <c:v>37.470286147132057</c:v>
                </c:pt>
                <c:pt idx="24">
                  <c:v>34.705323058487814</c:v>
                </c:pt>
                <c:pt idx="25">
                  <c:v>31.812074657624557</c:v>
                </c:pt>
                <c:pt idx="26">
                  <c:v>28.790540944542304</c:v>
                </c:pt>
                <c:pt idx="27">
                  <c:v>25.640721919241034</c:v>
                </c:pt>
                <c:pt idx="28">
                  <c:v>22.362617581720766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E6-1641-9325-5B869F78D8AF}"/>
            </c:ext>
          </c:extLst>
        </c:ser>
        <c:ser>
          <c:idx val="6"/>
          <c:order val="6"/>
          <c:tx>
            <c:strRef>
              <c:f>Sheet1!$E$93</c:f>
              <c:strCache>
                <c:ptCount val="1"/>
                <c:pt idx="0">
                  <c:v>客车价格弹性系数 = 0.700</c:v>
                </c:pt>
              </c:strCache>
            </c:strRef>
          </c:tx>
          <c:spPr>
            <a:ln w="28575" cap="rnd">
              <a:solidFill>
                <a:schemeClr val="accent1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Sheet1!$F$93:$AH$93</c:f>
              <c:numCache>
                <c:formatCode>0.00</c:formatCode>
                <c:ptCount val="29"/>
                <c:pt idx="0">
                  <c:v>66.470327249841901</c:v>
                </c:pt>
                <c:pt idx="1">
                  <c:v>66.575687049991345</c:v>
                </c:pt>
                <c:pt idx="2">
                  <c:v>66.556175975889602</c:v>
                </c:pt>
                <c:pt idx="3">
                  <c:v>66.411794027536658</c:v>
                </c:pt>
                <c:pt idx="4">
                  <c:v>66.142541204932499</c:v>
                </c:pt>
                <c:pt idx="5">
                  <c:v>65.748417508077154</c:v>
                </c:pt>
                <c:pt idx="6">
                  <c:v>65.229422936970593</c:v>
                </c:pt>
                <c:pt idx="7">
                  <c:v>64.58555749161286</c:v>
                </c:pt>
                <c:pt idx="8">
                  <c:v>63.816821172003898</c:v>
                </c:pt>
                <c:pt idx="9">
                  <c:v>62.92321397814375</c:v>
                </c:pt>
                <c:pt idx="10">
                  <c:v>61.904735910032407</c:v>
                </c:pt>
                <c:pt idx="11">
                  <c:v>60.76138696766985</c:v>
                </c:pt>
                <c:pt idx="12">
                  <c:v>59.493167151056099</c:v>
                </c:pt>
                <c:pt idx="13">
                  <c:v>58.100076460191147</c:v>
                </c:pt>
                <c:pt idx="14">
                  <c:v>56.582114895074994</c:v>
                </c:pt>
                <c:pt idx="15">
                  <c:v>54.939282455707676</c:v>
                </c:pt>
                <c:pt idx="16">
                  <c:v>53.171579142089129</c:v>
                </c:pt>
                <c:pt idx="17">
                  <c:v>51.279004954219388</c:v>
                </c:pt>
                <c:pt idx="18">
                  <c:v>49.261559892098433</c:v>
                </c:pt>
                <c:pt idx="19">
                  <c:v>47.119243955726297</c:v>
                </c:pt>
                <c:pt idx="20">
                  <c:v>44.852057145102954</c:v>
                </c:pt>
                <c:pt idx="21">
                  <c:v>42.459999460228353</c:v>
                </c:pt>
                <c:pt idx="22">
                  <c:v>39.943070901102601</c:v>
                </c:pt>
                <c:pt idx="23">
                  <c:v>37.301271467725655</c:v>
                </c:pt>
                <c:pt idx="24">
                  <c:v>34.534601160097502</c:v>
                </c:pt>
                <c:pt idx="25">
                  <c:v>31.643059978218151</c:v>
                </c:pt>
                <c:pt idx="26">
                  <c:v>28.626647922087599</c:v>
                </c:pt>
                <c:pt idx="27">
                  <c:v>25.48536499170585</c:v>
                </c:pt>
                <c:pt idx="28">
                  <c:v>22.219211187072904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E6-1641-9325-5B869F78D8AF}"/>
            </c:ext>
          </c:extLst>
        </c:ser>
        <c:ser>
          <c:idx val="7"/>
          <c:order val="7"/>
          <c:tx>
            <c:strRef>
              <c:f>Sheet1!$E$94</c:f>
              <c:strCache>
                <c:ptCount val="1"/>
                <c:pt idx="0">
                  <c:v>客车价格弹性系数 = 0.675</c:v>
                </c:pt>
              </c:strCache>
            </c:strRef>
          </c:tx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Sheet1!$F$94:$AH$94</c:f>
              <c:numCache>
                <c:formatCode>0.00</c:formatCode>
                <c:ptCount val="29"/>
                <c:pt idx="0">
                  <c:v>67.282963486179796</c:v>
                </c:pt>
                <c:pt idx="1">
                  <c:v>67.308083994085791</c:v>
                </c:pt>
                <c:pt idx="2">
                  <c:v>67.211748065708406</c:v>
                </c:pt>
                <c:pt idx="3">
                  <c:v>66.993955701047611</c:v>
                </c:pt>
                <c:pt idx="4">
                  <c:v>66.654706900103434</c:v>
                </c:pt>
                <c:pt idx="5">
                  <c:v>66.194001662875863</c:v>
                </c:pt>
                <c:pt idx="6">
                  <c:v>65.611839989364896</c:v>
                </c:pt>
                <c:pt idx="7">
                  <c:v>64.908221879570547</c:v>
                </c:pt>
                <c:pt idx="8">
                  <c:v>64.083147333492789</c:v>
                </c:pt>
                <c:pt idx="9">
                  <c:v>63.136616351131636</c:v>
                </c:pt>
                <c:pt idx="10">
                  <c:v>62.068628932487101</c:v>
                </c:pt>
                <c:pt idx="11">
                  <c:v>60.879185077559157</c:v>
                </c:pt>
                <c:pt idx="12">
                  <c:v>59.568284786347839</c:v>
                </c:pt>
                <c:pt idx="13">
                  <c:v>58.135928058853125</c:v>
                </c:pt>
                <c:pt idx="14">
                  <c:v>56.582114895074994</c:v>
                </c:pt>
                <c:pt idx="15">
                  <c:v>54.906845295013525</c:v>
                </c:pt>
                <c:pt idx="16">
                  <c:v>53.110119258668625</c:v>
                </c:pt>
                <c:pt idx="17">
                  <c:v>51.191936786040323</c:v>
                </c:pt>
                <c:pt idx="18">
                  <c:v>49.152297877128632</c:v>
                </c:pt>
                <c:pt idx="19">
                  <c:v>46.991202531933553</c:v>
                </c:pt>
                <c:pt idx="20">
                  <c:v>44.708650750455085</c:v>
                </c:pt>
                <c:pt idx="21">
                  <c:v>42.304642532693165</c:v>
                </c:pt>
                <c:pt idx="22">
                  <c:v>39.7791778786479</c:v>
                </c:pt>
                <c:pt idx="23">
                  <c:v>37.132256788319246</c:v>
                </c:pt>
                <c:pt idx="24">
                  <c:v>34.36387926170719</c:v>
                </c:pt>
                <c:pt idx="25">
                  <c:v>31.474045298811738</c:v>
                </c:pt>
                <c:pt idx="26">
                  <c:v>28.462754899632898</c:v>
                </c:pt>
                <c:pt idx="27">
                  <c:v>25.330008064170666</c:v>
                </c:pt>
                <c:pt idx="28">
                  <c:v>22.075804792425039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E6-1641-9325-5B869F78D8AF}"/>
            </c:ext>
          </c:extLst>
        </c:ser>
        <c:ser>
          <c:idx val="8"/>
          <c:order val="8"/>
          <c:tx>
            <c:strRef>
              <c:f>Sheet1!$E$95</c:f>
              <c:strCache>
                <c:ptCount val="1"/>
                <c:pt idx="0">
                  <c:v>客车价格弹性系数 = 0.650</c:v>
                </c:pt>
              </c:strCache>
            </c:strRef>
          </c:tx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Sheet1!$F$95:$AH$95</c:f>
              <c:numCache>
                <c:formatCode>0.00</c:formatCode>
                <c:ptCount val="29"/>
                <c:pt idx="0">
                  <c:v>68.095599722517676</c:v>
                </c:pt>
                <c:pt idx="1">
                  <c:v>68.040480938180224</c:v>
                </c:pt>
                <c:pt idx="2">
                  <c:v>67.867320155527196</c:v>
                </c:pt>
                <c:pt idx="3">
                  <c:v>67.576117374558592</c:v>
                </c:pt>
                <c:pt idx="4">
                  <c:v>67.16687259527437</c:v>
                </c:pt>
                <c:pt idx="5">
                  <c:v>66.639585817674572</c:v>
                </c:pt>
                <c:pt idx="6">
                  <c:v>65.994257041759198</c:v>
                </c:pt>
                <c:pt idx="7">
                  <c:v>65.230886267528234</c:v>
                </c:pt>
                <c:pt idx="8">
                  <c:v>64.349473494981666</c:v>
                </c:pt>
                <c:pt idx="9">
                  <c:v>63.350018724119536</c:v>
                </c:pt>
                <c:pt idx="10">
                  <c:v>62.232521954941802</c:v>
                </c:pt>
                <c:pt idx="11">
                  <c:v>60.996983187448485</c:v>
                </c:pt>
                <c:pt idx="12">
                  <c:v>59.643402421639593</c:v>
                </c:pt>
                <c:pt idx="13">
                  <c:v>58.171779657515081</c:v>
                </c:pt>
                <c:pt idx="14">
                  <c:v>56.582114895074994</c:v>
                </c:pt>
                <c:pt idx="15">
                  <c:v>54.874408134319367</c:v>
                </c:pt>
                <c:pt idx="16">
                  <c:v>53.048659375248107</c:v>
                </c:pt>
                <c:pt idx="17">
                  <c:v>51.104868617861278</c:v>
                </c:pt>
                <c:pt idx="18">
                  <c:v>49.043035862158845</c:v>
                </c:pt>
                <c:pt idx="19">
                  <c:v>46.863161108140829</c:v>
                </c:pt>
                <c:pt idx="20">
                  <c:v>44.565244355807231</c:v>
                </c:pt>
                <c:pt idx="21">
                  <c:v>42.149285605157985</c:v>
                </c:pt>
                <c:pt idx="22">
                  <c:v>39.615284856193206</c:v>
                </c:pt>
                <c:pt idx="23">
                  <c:v>36.963242108912837</c:v>
                </c:pt>
                <c:pt idx="24">
                  <c:v>34.193157363316878</c:v>
                </c:pt>
                <c:pt idx="25">
                  <c:v>31.305030619405326</c:v>
                </c:pt>
                <c:pt idx="26">
                  <c:v>28.298861877178204</c:v>
                </c:pt>
                <c:pt idx="27">
                  <c:v>25.174651136635479</c:v>
                </c:pt>
                <c:pt idx="28">
                  <c:v>21.932398397777177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E6-1641-9325-5B869F78D8AF}"/>
            </c:ext>
          </c:extLst>
        </c:ser>
        <c:ser>
          <c:idx val="9"/>
          <c:order val="9"/>
          <c:tx>
            <c:strRef>
              <c:f>Sheet1!$E$96</c:f>
              <c:strCache>
                <c:ptCount val="1"/>
                <c:pt idx="0">
                  <c:v>客车价格弹性系数 = 0.625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Sheet1!$F$96:$AH$96</c:f>
              <c:numCache>
                <c:formatCode>0.00</c:formatCode>
                <c:ptCount val="29"/>
                <c:pt idx="0">
                  <c:v>68.90823595885557</c:v>
                </c:pt>
                <c:pt idx="1">
                  <c:v>68.77287788227467</c:v>
                </c:pt>
                <c:pt idx="2">
                  <c:v>68.522892245346</c:v>
                </c:pt>
                <c:pt idx="3">
                  <c:v>68.158279048069545</c:v>
                </c:pt>
                <c:pt idx="4">
                  <c:v>67.679038290445305</c:v>
                </c:pt>
                <c:pt idx="5">
                  <c:v>67.085169972473295</c:v>
                </c:pt>
                <c:pt idx="6">
                  <c:v>66.376674094153486</c:v>
                </c:pt>
                <c:pt idx="7">
                  <c:v>65.553550655485921</c:v>
                </c:pt>
                <c:pt idx="8">
                  <c:v>64.615799656470557</c:v>
                </c:pt>
                <c:pt idx="9">
                  <c:v>63.563421097107422</c:v>
                </c:pt>
                <c:pt idx="10">
                  <c:v>62.396414977396503</c:v>
                </c:pt>
                <c:pt idx="11">
                  <c:v>61.1147812973378</c:v>
                </c:pt>
                <c:pt idx="12">
                  <c:v>59.718520056931311</c:v>
                </c:pt>
                <c:pt idx="13">
                  <c:v>58.207631256177052</c:v>
                </c:pt>
                <c:pt idx="14">
                  <c:v>56.582114895074994</c:v>
                </c:pt>
                <c:pt idx="15">
                  <c:v>54.841970973625202</c:v>
                </c:pt>
                <c:pt idx="16">
                  <c:v>52.987199491827596</c:v>
                </c:pt>
                <c:pt idx="17">
                  <c:v>51.017800449682213</c:v>
                </c:pt>
                <c:pt idx="18">
                  <c:v>48.933773847189038</c:v>
                </c:pt>
                <c:pt idx="19">
                  <c:v>46.735119684348085</c:v>
                </c:pt>
                <c:pt idx="20">
                  <c:v>44.421837961159369</c:v>
                </c:pt>
                <c:pt idx="21">
                  <c:v>41.993928677622804</c:v>
                </c:pt>
                <c:pt idx="22">
                  <c:v>39.451391833738505</c:v>
                </c:pt>
                <c:pt idx="23">
                  <c:v>36.794227429506421</c:v>
                </c:pt>
                <c:pt idx="24">
                  <c:v>34.022435464926566</c:v>
                </c:pt>
                <c:pt idx="25">
                  <c:v>31.136015939998916</c:v>
                </c:pt>
                <c:pt idx="26">
                  <c:v>28.1349688547235</c:v>
                </c:pt>
                <c:pt idx="27">
                  <c:v>25.019294209100298</c:v>
                </c:pt>
                <c:pt idx="28">
                  <c:v>21.788992003129316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E6-1641-9325-5B869F78D8AF}"/>
            </c:ext>
          </c:extLst>
        </c:ser>
        <c:ser>
          <c:idx val="10"/>
          <c:order val="10"/>
          <c:tx>
            <c:strRef>
              <c:f>Sheet1!$E$97</c:f>
              <c:strCache>
                <c:ptCount val="1"/>
                <c:pt idx="0">
                  <c:v>客车价格弹性系数 = 0.600</c:v>
                </c:pt>
              </c:strCache>
            </c:strRef>
          </c:tx>
          <c:spPr>
            <a:ln w="28575" cap="rnd">
              <a:solidFill>
                <a:schemeClr val="accent1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Sheet1!$F$97:$AH$97</c:f>
              <c:numCache>
                <c:formatCode>0.00</c:formatCode>
                <c:ptCount val="29"/>
                <c:pt idx="0">
                  <c:v>69.720872195193465</c:v>
                </c:pt>
                <c:pt idx="1">
                  <c:v>69.505274826369117</c:v>
                </c:pt>
                <c:pt idx="2">
                  <c:v>69.178464335164804</c:v>
                </c:pt>
                <c:pt idx="3">
                  <c:v>68.740440721580512</c:v>
                </c:pt>
                <c:pt idx="4">
                  <c:v>68.191203985616255</c:v>
                </c:pt>
                <c:pt idx="5">
                  <c:v>67.530754127272019</c:v>
                </c:pt>
                <c:pt idx="6">
                  <c:v>66.759091146547803</c:v>
                </c:pt>
                <c:pt idx="7">
                  <c:v>65.876215043443608</c:v>
                </c:pt>
                <c:pt idx="8">
                  <c:v>64.882125817959448</c:v>
                </c:pt>
                <c:pt idx="9">
                  <c:v>63.776823470095316</c:v>
                </c:pt>
                <c:pt idx="10">
                  <c:v>62.560307999851197</c:v>
                </c:pt>
                <c:pt idx="11">
                  <c:v>61.232579407227114</c:v>
                </c:pt>
                <c:pt idx="12">
                  <c:v>59.793637692223044</c:v>
                </c:pt>
                <c:pt idx="13">
                  <c:v>58.243482854839016</c:v>
                </c:pt>
                <c:pt idx="14">
                  <c:v>56.582114895074994</c:v>
                </c:pt>
                <c:pt idx="15">
                  <c:v>54.809533812931051</c:v>
                </c:pt>
                <c:pt idx="16">
                  <c:v>52.925739608407085</c:v>
                </c:pt>
                <c:pt idx="17">
                  <c:v>50.930732281503147</c:v>
                </c:pt>
                <c:pt idx="18">
                  <c:v>48.824511832219237</c:v>
                </c:pt>
                <c:pt idx="19">
                  <c:v>46.607078260555355</c:v>
                </c:pt>
                <c:pt idx="20">
                  <c:v>44.2784315665115</c:v>
                </c:pt>
                <c:pt idx="21">
                  <c:v>41.83857175008761</c:v>
                </c:pt>
                <c:pt idx="22">
                  <c:v>39.287498811283797</c:v>
                </c:pt>
                <c:pt idx="23">
                  <c:v>36.625212750100012</c:v>
                </c:pt>
                <c:pt idx="24">
                  <c:v>33.851713566536255</c:v>
                </c:pt>
                <c:pt idx="25">
                  <c:v>30.967001260592511</c:v>
                </c:pt>
                <c:pt idx="26">
                  <c:v>27.971075832268795</c:v>
                </c:pt>
                <c:pt idx="27">
                  <c:v>24.863937281565118</c:v>
                </c:pt>
                <c:pt idx="28">
                  <c:v>21.645585608481451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E6-1641-9325-5B869F78D8AF}"/>
            </c:ext>
          </c:extLst>
        </c:ser>
        <c:ser>
          <c:idx val="11"/>
          <c:order val="11"/>
          <c:tx>
            <c:strRef>
              <c:f>Sheet1!$E$98</c:f>
              <c:strCache>
                <c:ptCount val="1"/>
                <c:pt idx="0">
                  <c:v>客车价格弹性系数 = 0.575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Sheet1!$F$98:$AH$98</c:f>
              <c:numCache>
                <c:formatCode>0.00</c:formatCode>
                <c:ptCount val="29"/>
                <c:pt idx="0">
                  <c:v>70.533508431531331</c:v>
                </c:pt>
                <c:pt idx="1">
                  <c:v>70.23767177046355</c:v>
                </c:pt>
                <c:pt idx="2">
                  <c:v>69.834036424983609</c:v>
                </c:pt>
                <c:pt idx="3">
                  <c:v>69.322602395091494</c:v>
                </c:pt>
                <c:pt idx="4">
                  <c:v>68.703369680787176</c:v>
                </c:pt>
                <c:pt idx="5">
                  <c:v>67.976338282070728</c:v>
                </c:pt>
                <c:pt idx="6">
                  <c:v>67.141508198942105</c:v>
                </c:pt>
                <c:pt idx="7">
                  <c:v>66.198879431401309</c:v>
                </c:pt>
                <c:pt idx="8">
                  <c:v>65.148451979448339</c:v>
                </c:pt>
                <c:pt idx="9">
                  <c:v>63.990225843083195</c:v>
                </c:pt>
                <c:pt idx="10">
                  <c:v>62.724201022305898</c:v>
                </c:pt>
                <c:pt idx="11">
                  <c:v>61.350377517116428</c:v>
                </c:pt>
                <c:pt idx="12">
                  <c:v>59.868755327514791</c:v>
                </c:pt>
                <c:pt idx="13">
                  <c:v>58.279334453500972</c:v>
                </c:pt>
                <c:pt idx="14">
                  <c:v>56.582114895074994</c:v>
                </c:pt>
                <c:pt idx="15">
                  <c:v>54.777096652236885</c:v>
                </c:pt>
                <c:pt idx="16">
                  <c:v>52.864279724986574</c:v>
                </c:pt>
                <c:pt idx="17">
                  <c:v>50.843664113324095</c:v>
                </c:pt>
                <c:pt idx="18">
                  <c:v>48.715249817249443</c:v>
                </c:pt>
                <c:pt idx="19">
                  <c:v>46.479036836762631</c:v>
                </c:pt>
                <c:pt idx="20">
                  <c:v>44.135025171863646</c:v>
                </c:pt>
                <c:pt idx="21">
                  <c:v>41.683214822552429</c:v>
                </c:pt>
                <c:pt idx="22">
                  <c:v>39.123605788829103</c:v>
                </c:pt>
                <c:pt idx="23">
                  <c:v>36.456198070693603</c:v>
                </c:pt>
                <c:pt idx="24">
                  <c:v>33.680991668145943</c:v>
                </c:pt>
                <c:pt idx="25">
                  <c:v>30.797986581186098</c:v>
                </c:pt>
                <c:pt idx="26">
                  <c:v>27.807182809814098</c:v>
                </c:pt>
                <c:pt idx="27">
                  <c:v>24.70858035402993</c:v>
                </c:pt>
                <c:pt idx="28">
                  <c:v>21.502179213833593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E6-1641-9325-5B869F78D8AF}"/>
            </c:ext>
          </c:extLst>
        </c:ser>
        <c:ser>
          <c:idx val="12"/>
          <c:order val="12"/>
          <c:tx>
            <c:strRef>
              <c:f>Sheet1!$E$99</c:f>
              <c:strCache>
                <c:ptCount val="1"/>
                <c:pt idx="0">
                  <c:v>客车价格弹性系数 = 0.550</c:v>
                </c:pt>
              </c:strCache>
            </c:strRef>
          </c:tx>
          <c:spPr>
            <a:ln w="2857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Sheet1!$F$99:$AH$99</c:f>
              <c:numCache>
                <c:formatCode>0.00</c:formatCode>
                <c:ptCount val="29"/>
                <c:pt idx="0">
                  <c:v>71.346144667869225</c:v>
                </c:pt>
                <c:pt idx="1">
                  <c:v>70.970068714557982</c:v>
                </c:pt>
                <c:pt idx="2">
                  <c:v>70.489608514802399</c:v>
                </c:pt>
                <c:pt idx="3">
                  <c:v>69.904764068602447</c:v>
                </c:pt>
                <c:pt idx="4">
                  <c:v>69.215535375958126</c:v>
                </c:pt>
                <c:pt idx="5">
                  <c:v>68.421922436869437</c:v>
                </c:pt>
                <c:pt idx="6">
                  <c:v>67.523925251336394</c:v>
                </c:pt>
                <c:pt idx="7">
                  <c:v>66.521543819358996</c:v>
                </c:pt>
                <c:pt idx="8">
                  <c:v>65.414778140937216</c:v>
                </c:pt>
                <c:pt idx="9">
                  <c:v>64.203628216071095</c:v>
                </c:pt>
                <c:pt idx="10">
                  <c:v>62.888094044760606</c:v>
                </c:pt>
                <c:pt idx="11">
                  <c:v>61.468175627005749</c:v>
                </c:pt>
                <c:pt idx="12">
                  <c:v>59.943872962806523</c:v>
                </c:pt>
                <c:pt idx="13">
                  <c:v>58.31518605216295</c:v>
                </c:pt>
                <c:pt idx="14">
                  <c:v>56.582114895074994</c:v>
                </c:pt>
                <c:pt idx="15">
                  <c:v>54.74465949154272</c:v>
                </c:pt>
                <c:pt idx="16">
                  <c:v>52.80281984156607</c:v>
                </c:pt>
                <c:pt idx="17">
                  <c:v>50.756595945145037</c:v>
                </c:pt>
                <c:pt idx="18">
                  <c:v>48.605987802279643</c:v>
                </c:pt>
                <c:pt idx="19">
                  <c:v>46.350995412969894</c:v>
                </c:pt>
                <c:pt idx="20">
                  <c:v>43.991618777215777</c:v>
                </c:pt>
                <c:pt idx="21">
                  <c:v>41.527857895017249</c:v>
                </c:pt>
                <c:pt idx="22">
                  <c:v>38.959712766374402</c:v>
                </c:pt>
                <c:pt idx="23">
                  <c:v>36.287183391287194</c:v>
                </c:pt>
                <c:pt idx="24">
                  <c:v>33.510269769755631</c:v>
                </c:pt>
                <c:pt idx="25">
                  <c:v>30.628971901779689</c:v>
                </c:pt>
                <c:pt idx="26">
                  <c:v>27.643289787359404</c:v>
                </c:pt>
                <c:pt idx="27">
                  <c:v>24.553223426494746</c:v>
                </c:pt>
                <c:pt idx="28">
                  <c:v>21.358772819185734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E6-1641-9325-5B869F78D8AF}"/>
            </c:ext>
          </c:extLst>
        </c:ser>
        <c:ser>
          <c:idx val="13"/>
          <c:order val="13"/>
          <c:tx>
            <c:strRef>
              <c:f>Sheet1!$E$100</c:f>
              <c:strCache>
                <c:ptCount val="1"/>
                <c:pt idx="0">
                  <c:v>客车价格弹性系数 = 0.525</c:v>
                </c:pt>
              </c:strCache>
            </c:strRef>
          </c:tx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Sheet1!$F$100:$AH$100</c:f>
              <c:numCache>
                <c:formatCode>0.00</c:formatCode>
                <c:ptCount val="29"/>
                <c:pt idx="0">
                  <c:v>72.15878090420712</c:v>
                </c:pt>
                <c:pt idx="1">
                  <c:v>71.702465658652429</c:v>
                </c:pt>
                <c:pt idx="2">
                  <c:v>71.145180604621203</c:v>
                </c:pt>
                <c:pt idx="3">
                  <c:v>70.486925742113414</c:v>
                </c:pt>
                <c:pt idx="4">
                  <c:v>69.727701071129061</c:v>
                </c:pt>
                <c:pt idx="5">
                  <c:v>68.867506591668146</c:v>
                </c:pt>
                <c:pt idx="6">
                  <c:v>67.906342303730696</c:v>
                </c:pt>
                <c:pt idx="7">
                  <c:v>66.844208207316683</c:v>
                </c:pt>
                <c:pt idx="8">
                  <c:v>65.681104302426107</c:v>
                </c:pt>
                <c:pt idx="9">
                  <c:v>64.417030589058982</c:v>
                </c:pt>
                <c:pt idx="10">
                  <c:v>63.051987067215293</c:v>
                </c:pt>
                <c:pt idx="11">
                  <c:v>61.585973736895056</c:v>
                </c:pt>
                <c:pt idx="12">
                  <c:v>60.018990598098263</c:v>
                </c:pt>
                <c:pt idx="13">
                  <c:v>58.351037650824914</c:v>
                </c:pt>
                <c:pt idx="14">
                  <c:v>56.582114895074994</c:v>
                </c:pt>
                <c:pt idx="15">
                  <c:v>54.712222330848569</c:v>
                </c:pt>
                <c:pt idx="16">
                  <c:v>52.741359958145544</c:v>
                </c:pt>
                <c:pt idx="17">
                  <c:v>50.669527776965971</c:v>
                </c:pt>
                <c:pt idx="18">
                  <c:v>48.496725787309849</c:v>
                </c:pt>
                <c:pt idx="19">
                  <c:v>46.222953989177157</c:v>
                </c:pt>
                <c:pt idx="20">
                  <c:v>43.848212382567922</c:v>
                </c:pt>
                <c:pt idx="21">
                  <c:v>41.372500967482061</c:v>
                </c:pt>
                <c:pt idx="22">
                  <c:v>38.795819743919708</c:v>
                </c:pt>
                <c:pt idx="23">
                  <c:v>36.118168711880791</c:v>
                </c:pt>
                <c:pt idx="24">
                  <c:v>33.339547871365319</c:v>
                </c:pt>
                <c:pt idx="25">
                  <c:v>30.459957222373276</c:v>
                </c:pt>
                <c:pt idx="26">
                  <c:v>27.479396764904699</c:v>
                </c:pt>
                <c:pt idx="27">
                  <c:v>24.397866498959559</c:v>
                </c:pt>
                <c:pt idx="28">
                  <c:v>21.215366424537866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4E6-1641-9325-5B869F78D8AF}"/>
            </c:ext>
          </c:extLst>
        </c:ser>
        <c:ser>
          <c:idx val="14"/>
          <c:order val="14"/>
          <c:tx>
            <c:strRef>
              <c:f>Sheet1!$E$101</c:f>
              <c:strCache>
                <c:ptCount val="1"/>
                <c:pt idx="0">
                  <c:v>客车价格弹性系数 = 0.500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Sheet1!$F$101:$AH$101</c:f>
              <c:numCache>
                <c:formatCode>0.00</c:formatCode>
                <c:ptCount val="29"/>
                <c:pt idx="0">
                  <c:v>72.971417140545</c:v>
                </c:pt>
                <c:pt idx="1">
                  <c:v>72.434862602746875</c:v>
                </c:pt>
                <c:pt idx="2">
                  <c:v>71.800752694440007</c:v>
                </c:pt>
                <c:pt idx="3">
                  <c:v>71.069087415624367</c:v>
                </c:pt>
                <c:pt idx="4">
                  <c:v>70.239866766299997</c:v>
                </c:pt>
                <c:pt idx="5">
                  <c:v>69.31309074646687</c:v>
                </c:pt>
                <c:pt idx="6">
                  <c:v>68.288759356124999</c:v>
                </c:pt>
                <c:pt idx="7">
                  <c:v>67.16687259527437</c:v>
                </c:pt>
                <c:pt idx="8">
                  <c:v>65.947430463914998</c:v>
                </c:pt>
                <c:pt idx="9">
                  <c:v>64.630432962046868</c:v>
                </c:pt>
                <c:pt idx="10">
                  <c:v>63.215880089670001</c:v>
                </c:pt>
                <c:pt idx="11">
                  <c:v>61.703771846784377</c:v>
                </c:pt>
                <c:pt idx="12">
                  <c:v>60.094108233390003</c:v>
                </c:pt>
                <c:pt idx="13">
                  <c:v>58.386889249486885</c:v>
                </c:pt>
                <c:pt idx="14">
                  <c:v>56.582114895074994</c:v>
                </c:pt>
                <c:pt idx="15">
                  <c:v>54.67978517015441</c:v>
                </c:pt>
                <c:pt idx="16">
                  <c:v>52.67990007472504</c:v>
                </c:pt>
                <c:pt idx="17">
                  <c:v>50.58245960878692</c:v>
                </c:pt>
                <c:pt idx="18">
                  <c:v>48.387463772340041</c:v>
                </c:pt>
                <c:pt idx="19">
                  <c:v>46.094912565384419</c:v>
                </c:pt>
                <c:pt idx="20">
                  <c:v>43.704805987920054</c:v>
                </c:pt>
                <c:pt idx="21">
                  <c:v>41.217144039946881</c:v>
                </c:pt>
                <c:pt idx="22">
                  <c:v>38.631926721465007</c:v>
                </c:pt>
                <c:pt idx="23">
                  <c:v>35.949154032474375</c:v>
                </c:pt>
                <c:pt idx="24">
                  <c:v>33.168825972975</c:v>
                </c:pt>
                <c:pt idx="25">
                  <c:v>30.290942542966874</c:v>
                </c:pt>
                <c:pt idx="26">
                  <c:v>27.315503742449998</c:v>
                </c:pt>
                <c:pt idx="27">
                  <c:v>24.242509571424375</c:v>
                </c:pt>
                <c:pt idx="28">
                  <c:v>21.071960029890004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E6-1641-9325-5B869F78D8AF}"/>
            </c:ext>
          </c:extLst>
        </c:ser>
        <c:ser>
          <c:idx val="15"/>
          <c:order val="15"/>
          <c:tx>
            <c:strRef>
              <c:f>Sheet1!$E$102</c:f>
              <c:strCache>
                <c:ptCount val="1"/>
                <c:pt idx="0">
                  <c:v>客车价格弹性系数 = 0.475</c:v>
                </c:pt>
              </c:strCache>
            </c:strRef>
          </c:tx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Sheet1!$F$102:$AH$102</c:f>
              <c:numCache>
                <c:formatCode>0.00</c:formatCode>
                <c:ptCount val="29"/>
                <c:pt idx="0">
                  <c:v>73.784053376882881</c:v>
                </c:pt>
                <c:pt idx="1">
                  <c:v>73.167259546841294</c:v>
                </c:pt>
                <c:pt idx="2">
                  <c:v>72.456324784258797</c:v>
                </c:pt>
                <c:pt idx="3">
                  <c:v>71.651249089135334</c:v>
                </c:pt>
                <c:pt idx="4">
                  <c:v>70.752032461470932</c:v>
                </c:pt>
                <c:pt idx="5">
                  <c:v>69.758674901265579</c:v>
                </c:pt>
                <c:pt idx="6">
                  <c:v>68.671176408519287</c:v>
                </c:pt>
                <c:pt idx="7">
                  <c:v>67.489536983232057</c:v>
                </c:pt>
                <c:pt idx="8">
                  <c:v>66.213756625403875</c:v>
                </c:pt>
                <c:pt idx="9">
                  <c:v>64.843835335034768</c:v>
                </c:pt>
                <c:pt idx="10">
                  <c:v>63.379773112124695</c:v>
                </c:pt>
                <c:pt idx="11">
                  <c:v>61.821569956673692</c:v>
                </c:pt>
                <c:pt idx="12">
                  <c:v>60.169225868681735</c:v>
                </c:pt>
                <c:pt idx="13">
                  <c:v>58.422740848148841</c:v>
                </c:pt>
                <c:pt idx="14">
                  <c:v>56.582114895074994</c:v>
                </c:pt>
                <c:pt idx="15">
                  <c:v>54.647348009460245</c:v>
                </c:pt>
                <c:pt idx="16">
                  <c:v>52.618440191304522</c:v>
                </c:pt>
                <c:pt idx="17">
                  <c:v>50.495391440607854</c:v>
                </c:pt>
                <c:pt idx="18">
                  <c:v>48.278201757370255</c:v>
                </c:pt>
                <c:pt idx="19">
                  <c:v>45.966871141591696</c:v>
                </c:pt>
                <c:pt idx="20">
                  <c:v>43.561399593272192</c:v>
                </c:pt>
                <c:pt idx="21">
                  <c:v>41.061787112411693</c:v>
                </c:pt>
                <c:pt idx="22">
                  <c:v>38.468033699010306</c:v>
                </c:pt>
                <c:pt idx="23">
                  <c:v>35.780139353067973</c:v>
                </c:pt>
                <c:pt idx="24">
                  <c:v>32.998104074584695</c:v>
                </c:pt>
                <c:pt idx="25">
                  <c:v>30.121927863560465</c:v>
                </c:pt>
                <c:pt idx="26">
                  <c:v>27.151610719995304</c:v>
                </c:pt>
                <c:pt idx="27">
                  <c:v>24.087152643889191</c:v>
                </c:pt>
                <c:pt idx="28">
                  <c:v>20.928553635242142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4E6-1641-9325-5B869F78D8AF}"/>
            </c:ext>
          </c:extLst>
        </c:ser>
        <c:ser>
          <c:idx val="16"/>
          <c:order val="16"/>
          <c:tx>
            <c:strRef>
              <c:f>Sheet1!$E$103</c:f>
              <c:strCache>
                <c:ptCount val="1"/>
                <c:pt idx="0">
                  <c:v>客车价格弹性系数 = 0.450</c:v>
                </c:pt>
              </c:strCache>
            </c:strRef>
          </c:tx>
          <c:spPr>
            <a:ln w="28575" cap="rnd">
              <a:solidFill>
                <a:schemeClr val="accent1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Sheet1!$F$103:$AH$103</c:f>
              <c:numCache>
                <c:formatCode>0.00</c:formatCode>
                <c:ptCount val="29"/>
                <c:pt idx="0">
                  <c:v>74.596689613220775</c:v>
                </c:pt>
                <c:pt idx="1">
                  <c:v>73.89965649093574</c:v>
                </c:pt>
                <c:pt idx="2">
                  <c:v>73.111896874077587</c:v>
                </c:pt>
                <c:pt idx="3">
                  <c:v>72.233410762646301</c:v>
                </c:pt>
                <c:pt idx="4">
                  <c:v>71.264198156641868</c:v>
                </c:pt>
                <c:pt idx="5">
                  <c:v>70.204259056064302</c:v>
                </c:pt>
                <c:pt idx="6">
                  <c:v>69.053593460913589</c:v>
                </c:pt>
                <c:pt idx="7">
                  <c:v>67.812201371189744</c:v>
                </c:pt>
                <c:pt idx="8">
                  <c:v>66.480082786892766</c:v>
                </c:pt>
                <c:pt idx="9">
                  <c:v>65.057237708022654</c:v>
                </c:pt>
                <c:pt idx="10">
                  <c:v>63.543666134579396</c:v>
                </c:pt>
                <c:pt idx="11">
                  <c:v>61.939368066562992</c:v>
                </c:pt>
                <c:pt idx="12">
                  <c:v>60.244343503973475</c:v>
                </c:pt>
                <c:pt idx="13">
                  <c:v>58.458592446810812</c:v>
                </c:pt>
                <c:pt idx="14">
                  <c:v>56.582114895074994</c:v>
                </c:pt>
                <c:pt idx="15">
                  <c:v>54.614910848766101</c:v>
                </c:pt>
                <c:pt idx="16">
                  <c:v>52.556980307884018</c:v>
                </c:pt>
                <c:pt idx="17">
                  <c:v>50.408323272428802</c:v>
                </c:pt>
                <c:pt idx="18">
                  <c:v>48.16893974240044</c:v>
                </c:pt>
                <c:pt idx="19">
                  <c:v>45.838829717798944</c:v>
                </c:pt>
                <c:pt idx="20">
                  <c:v>43.41799319862433</c:v>
                </c:pt>
                <c:pt idx="21">
                  <c:v>40.906430184876506</c:v>
                </c:pt>
                <c:pt idx="22">
                  <c:v>38.304140676555605</c:v>
                </c:pt>
                <c:pt idx="23">
                  <c:v>35.611124673661564</c:v>
                </c:pt>
                <c:pt idx="24">
                  <c:v>32.827382176194384</c:v>
                </c:pt>
                <c:pt idx="25">
                  <c:v>29.95291318415406</c:v>
                </c:pt>
                <c:pt idx="26">
                  <c:v>26.987717697540603</c:v>
                </c:pt>
                <c:pt idx="27">
                  <c:v>23.931795716354006</c:v>
                </c:pt>
                <c:pt idx="28">
                  <c:v>20.785147240594281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E6-1641-9325-5B869F78D8AF}"/>
            </c:ext>
          </c:extLst>
        </c:ser>
        <c:ser>
          <c:idx val="17"/>
          <c:order val="17"/>
          <c:tx>
            <c:strRef>
              <c:f>Sheet1!$E$104</c:f>
              <c:strCache>
                <c:ptCount val="1"/>
                <c:pt idx="0">
                  <c:v>客车价格弹性系数 = 0.425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Sheet1!$F$104:$AH$104</c:f>
              <c:numCache>
                <c:formatCode>0.00</c:formatCode>
                <c:ptCount val="29"/>
                <c:pt idx="0">
                  <c:v>75.409325849558655</c:v>
                </c:pt>
                <c:pt idx="1">
                  <c:v>74.632053435030187</c:v>
                </c:pt>
                <c:pt idx="2">
                  <c:v>73.767468963896391</c:v>
                </c:pt>
                <c:pt idx="3">
                  <c:v>72.815572436157268</c:v>
                </c:pt>
                <c:pt idx="4">
                  <c:v>71.776363851812818</c:v>
                </c:pt>
                <c:pt idx="5">
                  <c:v>70.649843210863025</c:v>
                </c:pt>
                <c:pt idx="6">
                  <c:v>69.436010513307892</c:v>
                </c:pt>
                <c:pt idx="7">
                  <c:v>68.134865759147445</c:v>
                </c:pt>
                <c:pt idx="8">
                  <c:v>66.746408948381657</c:v>
                </c:pt>
                <c:pt idx="9">
                  <c:v>65.270640081010527</c:v>
                </c:pt>
                <c:pt idx="10">
                  <c:v>63.707559157034098</c:v>
                </c:pt>
                <c:pt idx="11">
                  <c:v>62.05716617645232</c:v>
                </c:pt>
                <c:pt idx="12">
                  <c:v>60.319461139265215</c:v>
                </c:pt>
                <c:pt idx="13">
                  <c:v>58.494444045472775</c:v>
                </c:pt>
                <c:pt idx="14">
                  <c:v>56.582114895074994</c:v>
                </c:pt>
                <c:pt idx="15">
                  <c:v>54.582473688071936</c:v>
                </c:pt>
                <c:pt idx="16">
                  <c:v>52.495520424463493</c:v>
                </c:pt>
                <c:pt idx="17">
                  <c:v>50.321255104249744</c:v>
                </c:pt>
                <c:pt idx="18">
                  <c:v>48.059677727430646</c:v>
                </c:pt>
                <c:pt idx="19">
                  <c:v>45.710788294006221</c:v>
                </c:pt>
                <c:pt idx="20">
                  <c:v>43.274586803976476</c:v>
                </c:pt>
                <c:pt idx="21">
                  <c:v>40.751073257341325</c:v>
                </c:pt>
                <c:pt idx="22">
                  <c:v>38.140247654100904</c:v>
                </c:pt>
                <c:pt idx="23">
                  <c:v>35.442109994255148</c:v>
                </c:pt>
                <c:pt idx="24">
                  <c:v>32.656660277804072</c:v>
                </c:pt>
                <c:pt idx="25">
                  <c:v>29.783898504747647</c:v>
                </c:pt>
                <c:pt idx="26">
                  <c:v>26.823824675085909</c:v>
                </c:pt>
                <c:pt idx="27">
                  <c:v>23.77643878881883</c:v>
                </c:pt>
                <c:pt idx="28">
                  <c:v>20.641740845946423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E6-1641-9325-5B869F78D8AF}"/>
            </c:ext>
          </c:extLst>
        </c:ser>
        <c:ser>
          <c:idx val="18"/>
          <c:order val="18"/>
          <c:tx>
            <c:strRef>
              <c:f>Sheet1!$E$105</c:f>
              <c:strCache>
                <c:ptCount val="1"/>
                <c:pt idx="0">
                  <c:v>客车价格弹性系数 = 0.400</c:v>
                </c:pt>
              </c:strCache>
            </c:strRef>
          </c:tx>
          <c:spPr>
            <a:ln w="28575" cap="rnd">
              <a:solidFill>
                <a:schemeClr val="accent1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Sheet1!$F$105:$AH$105</c:f>
              <c:numCache>
                <c:formatCode>0.00</c:formatCode>
                <c:ptCount val="29"/>
                <c:pt idx="0">
                  <c:v>76.221962085896536</c:v>
                </c:pt>
                <c:pt idx="1">
                  <c:v>75.364450379124619</c:v>
                </c:pt>
                <c:pt idx="2">
                  <c:v>74.423041053715195</c:v>
                </c:pt>
                <c:pt idx="3">
                  <c:v>73.397734109668235</c:v>
                </c:pt>
                <c:pt idx="4">
                  <c:v>72.288529546983753</c:v>
                </c:pt>
                <c:pt idx="5">
                  <c:v>71.095427365661735</c:v>
                </c:pt>
                <c:pt idx="6">
                  <c:v>69.818427565702194</c:v>
                </c:pt>
                <c:pt idx="7">
                  <c:v>68.457530147105132</c:v>
                </c:pt>
                <c:pt idx="8">
                  <c:v>67.012735109870533</c:v>
                </c:pt>
                <c:pt idx="9">
                  <c:v>65.484042453998427</c:v>
                </c:pt>
                <c:pt idx="10">
                  <c:v>63.871452179488799</c:v>
                </c:pt>
                <c:pt idx="11">
                  <c:v>62.174964286341634</c:v>
                </c:pt>
                <c:pt idx="12">
                  <c:v>60.394578774556948</c:v>
                </c:pt>
                <c:pt idx="13">
                  <c:v>58.530295644134739</c:v>
                </c:pt>
                <c:pt idx="14">
                  <c:v>56.582114895074994</c:v>
                </c:pt>
                <c:pt idx="15">
                  <c:v>54.55003652737777</c:v>
                </c:pt>
                <c:pt idx="16">
                  <c:v>52.434060541042989</c:v>
                </c:pt>
                <c:pt idx="17">
                  <c:v>50.234186936070678</c:v>
                </c:pt>
                <c:pt idx="18">
                  <c:v>47.950415712460838</c:v>
                </c:pt>
                <c:pt idx="19">
                  <c:v>45.582746870213484</c:v>
                </c:pt>
                <c:pt idx="20">
                  <c:v>43.131180409328607</c:v>
                </c:pt>
                <c:pt idx="21">
                  <c:v>40.595716329806152</c:v>
                </c:pt>
                <c:pt idx="22">
                  <c:v>37.97635463164621</c:v>
                </c:pt>
                <c:pt idx="23">
                  <c:v>35.273095314848746</c:v>
                </c:pt>
                <c:pt idx="24">
                  <c:v>32.485938379413753</c:v>
                </c:pt>
                <c:pt idx="25">
                  <c:v>29.614883825341238</c:v>
                </c:pt>
                <c:pt idx="26">
                  <c:v>26.659931652631204</c:v>
                </c:pt>
                <c:pt idx="27">
                  <c:v>23.621081861283638</c:v>
                </c:pt>
                <c:pt idx="28">
                  <c:v>20.498334451298554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4E6-1641-9325-5B869F78D8AF}"/>
            </c:ext>
          </c:extLst>
        </c:ser>
        <c:ser>
          <c:idx val="19"/>
          <c:order val="19"/>
          <c:tx>
            <c:strRef>
              <c:f>Sheet1!$E$106</c:f>
              <c:strCache>
                <c:ptCount val="1"/>
                <c:pt idx="0">
                  <c:v>客车价格弹性系数 = 0.375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Sheet1!$F$106:$AH$106</c:f>
              <c:numCache>
                <c:formatCode>0.00</c:formatCode>
                <c:ptCount val="29"/>
                <c:pt idx="0">
                  <c:v>77.034598322234416</c:v>
                </c:pt>
                <c:pt idx="1">
                  <c:v>76.096847323219066</c:v>
                </c:pt>
                <c:pt idx="2">
                  <c:v>75.078613143533985</c:v>
                </c:pt>
                <c:pt idx="3">
                  <c:v>73.979895783179202</c:v>
                </c:pt>
                <c:pt idx="4">
                  <c:v>72.800695242154688</c:v>
                </c:pt>
                <c:pt idx="5">
                  <c:v>71.541011520460444</c:v>
                </c:pt>
                <c:pt idx="6">
                  <c:v>70.200844618096482</c:v>
                </c:pt>
                <c:pt idx="7">
                  <c:v>68.780194535062819</c:v>
                </c:pt>
                <c:pt idx="8">
                  <c:v>67.279061271359438</c:v>
                </c:pt>
                <c:pt idx="9">
                  <c:v>65.697444826986327</c:v>
                </c:pt>
                <c:pt idx="10">
                  <c:v>64.0353452019435</c:v>
                </c:pt>
                <c:pt idx="11">
                  <c:v>62.292762396230955</c:v>
                </c:pt>
                <c:pt idx="12">
                  <c:v>60.469696409848694</c:v>
                </c:pt>
                <c:pt idx="13">
                  <c:v>58.56614724279671</c:v>
                </c:pt>
                <c:pt idx="14">
                  <c:v>56.582114895074994</c:v>
                </c:pt>
                <c:pt idx="15">
                  <c:v>54.517599366683626</c:v>
                </c:pt>
                <c:pt idx="16">
                  <c:v>52.372600657622478</c:v>
                </c:pt>
                <c:pt idx="17">
                  <c:v>50.147118767891627</c:v>
                </c:pt>
                <c:pt idx="18">
                  <c:v>47.841153697491045</c:v>
                </c:pt>
                <c:pt idx="19">
                  <c:v>45.45470544642076</c:v>
                </c:pt>
                <c:pt idx="20">
                  <c:v>42.987774014680745</c:v>
                </c:pt>
                <c:pt idx="21">
                  <c:v>40.44035940227095</c:v>
                </c:pt>
                <c:pt idx="22">
                  <c:v>37.812461609191509</c:v>
                </c:pt>
                <c:pt idx="23">
                  <c:v>35.10408063544233</c:v>
                </c:pt>
                <c:pt idx="24">
                  <c:v>32.315216481023441</c:v>
                </c:pt>
                <c:pt idx="25">
                  <c:v>29.445869145934825</c:v>
                </c:pt>
                <c:pt idx="26">
                  <c:v>26.496038630176507</c:v>
                </c:pt>
                <c:pt idx="27">
                  <c:v>23.465724933748458</c:v>
                </c:pt>
                <c:pt idx="28">
                  <c:v>20.354928056650692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4E6-1641-9325-5B869F78D8AF}"/>
            </c:ext>
          </c:extLst>
        </c:ser>
        <c:ser>
          <c:idx val="20"/>
          <c:order val="20"/>
          <c:tx>
            <c:strRef>
              <c:f>Sheet1!$E$107</c:f>
              <c:strCache>
                <c:ptCount val="1"/>
                <c:pt idx="0">
                  <c:v>客车价格弹性系数 = 0.350</c:v>
                </c:pt>
              </c:strCache>
            </c:strRef>
          </c:tx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Sheet1!$F$107:$AH$107</c:f>
              <c:numCache>
                <c:formatCode>0.00</c:formatCode>
                <c:ptCount val="29"/>
                <c:pt idx="0">
                  <c:v>77.847234558572325</c:v>
                </c:pt>
                <c:pt idx="1">
                  <c:v>76.829244267313499</c:v>
                </c:pt>
                <c:pt idx="2">
                  <c:v>75.73418523335279</c:v>
                </c:pt>
                <c:pt idx="3">
                  <c:v>74.562057456690155</c:v>
                </c:pt>
                <c:pt idx="4">
                  <c:v>73.31286093732561</c:v>
                </c:pt>
                <c:pt idx="5">
                  <c:v>71.986595675259153</c:v>
                </c:pt>
                <c:pt idx="6">
                  <c:v>70.583261670490799</c:v>
                </c:pt>
                <c:pt idx="7">
                  <c:v>69.10285892302052</c:v>
                </c:pt>
                <c:pt idx="8">
                  <c:v>67.545387432848315</c:v>
                </c:pt>
                <c:pt idx="9">
                  <c:v>65.910847199974214</c:v>
                </c:pt>
                <c:pt idx="10">
                  <c:v>64.199238224398201</c:v>
                </c:pt>
                <c:pt idx="11">
                  <c:v>62.410560506120277</c:v>
                </c:pt>
                <c:pt idx="12">
                  <c:v>60.544814045140427</c:v>
                </c:pt>
                <c:pt idx="13">
                  <c:v>58.601998841458659</c:v>
                </c:pt>
                <c:pt idx="14">
                  <c:v>56.582114895074994</c:v>
                </c:pt>
                <c:pt idx="15">
                  <c:v>54.485162205989461</c:v>
                </c:pt>
                <c:pt idx="16">
                  <c:v>52.311140774201967</c:v>
                </c:pt>
                <c:pt idx="17">
                  <c:v>50.060050599712568</c:v>
                </c:pt>
                <c:pt idx="18">
                  <c:v>47.731891682521251</c:v>
                </c:pt>
                <c:pt idx="19">
                  <c:v>45.326664022628023</c:v>
                </c:pt>
                <c:pt idx="20">
                  <c:v>42.844367620032884</c:v>
                </c:pt>
                <c:pt idx="21">
                  <c:v>40.285002474735776</c:v>
                </c:pt>
                <c:pt idx="22">
                  <c:v>37.648568586736808</c:v>
                </c:pt>
                <c:pt idx="23">
                  <c:v>34.935065956035928</c:v>
                </c:pt>
                <c:pt idx="24">
                  <c:v>32.144494582633129</c:v>
                </c:pt>
                <c:pt idx="25">
                  <c:v>29.276854466528423</c:v>
                </c:pt>
                <c:pt idx="26">
                  <c:v>26.332145607721806</c:v>
                </c:pt>
                <c:pt idx="27">
                  <c:v>23.31036800621327</c:v>
                </c:pt>
                <c:pt idx="28">
                  <c:v>20.211521662002831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4E6-1641-9325-5B869F78D8AF}"/>
            </c:ext>
          </c:extLst>
        </c:ser>
        <c:ser>
          <c:idx val="21"/>
          <c:order val="21"/>
          <c:tx>
            <c:strRef>
              <c:f>Sheet1!$E$108</c:f>
              <c:strCache>
                <c:ptCount val="1"/>
                <c:pt idx="0">
                  <c:v>客车价格弹性系数 = 0.325</c:v>
                </c:pt>
              </c:strCache>
            </c:strRef>
          </c:tx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Sheet1!$F$108:$AH$108</c:f>
              <c:numCache>
                <c:formatCode>0.00</c:formatCode>
                <c:ptCount val="29"/>
                <c:pt idx="0">
                  <c:v>78.659870794910219</c:v>
                </c:pt>
                <c:pt idx="1">
                  <c:v>77.561641211407959</c:v>
                </c:pt>
                <c:pt idx="2">
                  <c:v>76.389757323171594</c:v>
                </c:pt>
                <c:pt idx="3">
                  <c:v>75.144219130201137</c:v>
                </c:pt>
                <c:pt idx="4">
                  <c:v>73.825026632496559</c:v>
                </c:pt>
                <c:pt idx="5">
                  <c:v>72.432179830057876</c:v>
                </c:pt>
                <c:pt idx="6">
                  <c:v>70.965678722885102</c:v>
                </c:pt>
                <c:pt idx="7">
                  <c:v>69.425523310978207</c:v>
                </c:pt>
                <c:pt idx="8">
                  <c:v>67.81171359433722</c:v>
                </c:pt>
                <c:pt idx="9">
                  <c:v>66.124249572962114</c:v>
                </c:pt>
                <c:pt idx="10">
                  <c:v>64.363131246852902</c:v>
                </c:pt>
                <c:pt idx="11">
                  <c:v>62.528358616009584</c:v>
                </c:pt>
                <c:pt idx="12">
                  <c:v>60.61993168043216</c:v>
                </c:pt>
                <c:pt idx="13">
                  <c:v>58.63785044012063</c:v>
                </c:pt>
                <c:pt idx="14">
                  <c:v>56.582114895074994</c:v>
                </c:pt>
                <c:pt idx="15">
                  <c:v>54.452725045295296</c:v>
                </c:pt>
                <c:pt idx="16">
                  <c:v>52.249680890781455</c:v>
                </c:pt>
                <c:pt idx="17">
                  <c:v>49.972982431533502</c:v>
                </c:pt>
                <c:pt idx="18">
                  <c:v>47.62262966755145</c:v>
                </c:pt>
                <c:pt idx="19">
                  <c:v>45.198622598835279</c:v>
                </c:pt>
                <c:pt idx="20">
                  <c:v>42.700961225385022</c:v>
                </c:pt>
                <c:pt idx="21">
                  <c:v>40.129645547200589</c:v>
                </c:pt>
                <c:pt idx="22">
                  <c:v>37.484675564282099</c:v>
                </c:pt>
                <c:pt idx="23">
                  <c:v>34.766051276629511</c:v>
                </c:pt>
                <c:pt idx="24">
                  <c:v>31.973772684242817</c:v>
                </c:pt>
                <c:pt idx="25">
                  <c:v>29.107839787122007</c:v>
                </c:pt>
                <c:pt idx="26">
                  <c:v>26.168252585267098</c:v>
                </c:pt>
                <c:pt idx="27">
                  <c:v>23.155011078678083</c:v>
                </c:pt>
                <c:pt idx="28">
                  <c:v>20.068115267354969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4E6-1641-9325-5B869F78D8AF}"/>
            </c:ext>
          </c:extLst>
        </c:ser>
        <c:ser>
          <c:idx val="22"/>
          <c:order val="22"/>
          <c:tx>
            <c:strRef>
              <c:f>Sheet1!$E$109</c:f>
              <c:strCache>
                <c:ptCount val="1"/>
                <c:pt idx="0">
                  <c:v>客车价格弹性系数 = 0.300</c:v>
                </c:pt>
              </c:strCache>
            </c:strRef>
          </c:tx>
          <c:spPr>
            <a:ln w="28575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Sheet1!$F$109:$AH$109</c:f>
              <c:numCache>
                <c:formatCode>0.00</c:formatCode>
                <c:ptCount val="29"/>
                <c:pt idx="0">
                  <c:v>79.472507031248099</c:v>
                </c:pt>
                <c:pt idx="1">
                  <c:v>78.294038155502392</c:v>
                </c:pt>
                <c:pt idx="2">
                  <c:v>77.045329412990412</c:v>
                </c:pt>
                <c:pt idx="3">
                  <c:v>75.726380803712104</c:v>
                </c:pt>
                <c:pt idx="4">
                  <c:v>74.337192327667509</c:v>
                </c:pt>
                <c:pt idx="5">
                  <c:v>72.8777639848566</c:v>
                </c:pt>
                <c:pt idx="6">
                  <c:v>71.34809577527939</c:v>
                </c:pt>
                <c:pt idx="7">
                  <c:v>69.748187698935894</c:v>
                </c:pt>
                <c:pt idx="8">
                  <c:v>68.078039755826097</c:v>
                </c:pt>
                <c:pt idx="9">
                  <c:v>66.33765194595</c:v>
                </c:pt>
                <c:pt idx="10">
                  <c:v>64.527024269307603</c:v>
                </c:pt>
                <c:pt idx="11">
                  <c:v>62.646156725898905</c:v>
                </c:pt>
                <c:pt idx="12">
                  <c:v>60.695049315723892</c:v>
                </c:pt>
                <c:pt idx="13">
                  <c:v>58.673702038782608</c:v>
                </c:pt>
                <c:pt idx="14">
                  <c:v>56.582114895074994</c:v>
                </c:pt>
                <c:pt idx="15">
                  <c:v>54.420287884601137</c:v>
                </c:pt>
                <c:pt idx="16">
                  <c:v>52.188221007360937</c:v>
                </c:pt>
                <c:pt idx="17">
                  <c:v>49.885914263354437</c:v>
                </c:pt>
                <c:pt idx="18">
                  <c:v>47.513367652581643</c:v>
                </c:pt>
                <c:pt idx="19">
                  <c:v>45.070581175042548</c:v>
                </c:pt>
                <c:pt idx="20">
                  <c:v>42.557554830737161</c:v>
                </c:pt>
                <c:pt idx="21">
                  <c:v>39.974288619665401</c:v>
                </c:pt>
                <c:pt idx="22">
                  <c:v>37.320782541827413</c:v>
                </c:pt>
                <c:pt idx="23">
                  <c:v>34.597036597223102</c:v>
                </c:pt>
                <c:pt idx="24">
                  <c:v>31.803050785852506</c:v>
                </c:pt>
                <c:pt idx="25">
                  <c:v>28.938825107715598</c:v>
                </c:pt>
                <c:pt idx="26">
                  <c:v>26.004359562812397</c:v>
                </c:pt>
                <c:pt idx="27">
                  <c:v>22.999654151142902</c:v>
                </c:pt>
                <c:pt idx="28">
                  <c:v>19.924708872707104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4E6-1641-9325-5B869F78D8AF}"/>
            </c:ext>
          </c:extLst>
        </c:ser>
        <c:ser>
          <c:idx val="23"/>
          <c:order val="23"/>
          <c:tx>
            <c:strRef>
              <c:f>Sheet1!$E$110</c:f>
              <c:strCache>
                <c:ptCount val="1"/>
                <c:pt idx="0">
                  <c:v>客车价格弹性系数 = 0.275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Sheet1!$F$110:$AH$110</c:f>
              <c:numCache>
                <c:formatCode>0.00</c:formatCode>
                <c:ptCount val="29"/>
                <c:pt idx="0">
                  <c:v>80.285143267585994</c:v>
                </c:pt>
                <c:pt idx="1">
                  <c:v>79.026435099596839</c:v>
                </c:pt>
                <c:pt idx="2">
                  <c:v>77.700901502809202</c:v>
                </c:pt>
                <c:pt idx="3">
                  <c:v>76.308542477223071</c:v>
                </c:pt>
                <c:pt idx="4">
                  <c:v>74.849358022838445</c:v>
                </c:pt>
                <c:pt idx="5">
                  <c:v>73.323348139655323</c:v>
                </c:pt>
                <c:pt idx="6">
                  <c:v>71.730512827673692</c:v>
                </c:pt>
                <c:pt idx="7">
                  <c:v>70.070852086893595</c:v>
                </c:pt>
                <c:pt idx="8">
                  <c:v>68.344365917314988</c:v>
                </c:pt>
                <c:pt idx="9">
                  <c:v>66.551054318937886</c:v>
                </c:pt>
                <c:pt idx="10">
                  <c:v>64.690917291762304</c:v>
                </c:pt>
                <c:pt idx="11">
                  <c:v>62.763954835788212</c:v>
                </c:pt>
                <c:pt idx="12">
                  <c:v>60.770166951015639</c:v>
                </c:pt>
                <c:pt idx="13">
                  <c:v>58.709553637444571</c:v>
                </c:pt>
                <c:pt idx="14">
                  <c:v>56.582114895074994</c:v>
                </c:pt>
                <c:pt idx="15">
                  <c:v>54.387850723906986</c:v>
                </c:pt>
                <c:pt idx="16">
                  <c:v>52.126761123940433</c:v>
                </c:pt>
                <c:pt idx="17">
                  <c:v>49.798846095175392</c:v>
                </c:pt>
                <c:pt idx="18">
                  <c:v>47.404105637611842</c:v>
                </c:pt>
                <c:pt idx="19">
                  <c:v>44.942539751249804</c:v>
                </c:pt>
                <c:pt idx="20">
                  <c:v>42.414148436089292</c:v>
                </c:pt>
                <c:pt idx="21">
                  <c:v>39.818931692130221</c:v>
                </c:pt>
                <c:pt idx="22">
                  <c:v>37.156889519372704</c:v>
                </c:pt>
                <c:pt idx="23">
                  <c:v>34.428021917816693</c:v>
                </c:pt>
                <c:pt idx="24">
                  <c:v>31.632328887462187</c:v>
                </c:pt>
                <c:pt idx="25">
                  <c:v>28.769810428309189</c:v>
                </c:pt>
                <c:pt idx="26">
                  <c:v>25.840466540357699</c:v>
                </c:pt>
                <c:pt idx="27">
                  <c:v>22.844297223607715</c:v>
                </c:pt>
                <c:pt idx="28">
                  <c:v>19.781302478059239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4E6-1641-9325-5B869F78D8AF}"/>
            </c:ext>
          </c:extLst>
        </c:ser>
        <c:ser>
          <c:idx val="24"/>
          <c:order val="24"/>
          <c:tx>
            <c:strRef>
              <c:f>Sheet1!$E$111</c:f>
              <c:strCache>
                <c:ptCount val="1"/>
                <c:pt idx="0">
                  <c:v>客车价格弹性系数 = 0.250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Sheet1!$F$111:$AH$111</c:f>
              <c:numCache>
                <c:formatCode>0.00</c:formatCode>
                <c:ptCount val="29"/>
                <c:pt idx="0">
                  <c:v>81.097779503923874</c:v>
                </c:pt>
                <c:pt idx="1">
                  <c:v>79.758832043691285</c:v>
                </c:pt>
                <c:pt idx="2">
                  <c:v>78.356473592627992</c:v>
                </c:pt>
                <c:pt idx="3">
                  <c:v>76.890704150734024</c:v>
                </c:pt>
                <c:pt idx="4">
                  <c:v>75.36152371800938</c:v>
                </c:pt>
                <c:pt idx="5">
                  <c:v>73.768932294454032</c:v>
                </c:pt>
                <c:pt idx="6">
                  <c:v>72.112929880067995</c:v>
                </c:pt>
                <c:pt idx="7">
                  <c:v>70.393516474851282</c:v>
                </c:pt>
                <c:pt idx="8">
                  <c:v>68.610692078803879</c:v>
                </c:pt>
                <c:pt idx="9">
                  <c:v>66.764456691925773</c:v>
                </c:pt>
                <c:pt idx="10">
                  <c:v>64.854810314217005</c:v>
                </c:pt>
                <c:pt idx="11">
                  <c:v>62.881752945677533</c:v>
                </c:pt>
                <c:pt idx="12">
                  <c:v>60.845284586307379</c:v>
                </c:pt>
                <c:pt idx="13">
                  <c:v>58.745405236106528</c:v>
                </c:pt>
                <c:pt idx="14">
                  <c:v>56.582114895074994</c:v>
                </c:pt>
                <c:pt idx="15">
                  <c:v>54.355413563212821</c:v>
                </c:pt>
                <c:pt idx="16">
                  <c:v>52.065301240519915</c:v>
                </c:pt>
                <c:pt idx="17">
                  <c:v>49.711777926996326</c:v>
                </c:pt>
                <c:pt idx="18">
                  <c:v>47.294843622642041</c:v>
                </c:pt>
                <c:pt idx="19">
                  <c:v>44.814498327457073</c:v>
                </c:pt>
                <c:pt idx="20">
                  <c:v>42.27074204144143</c:v>
                </c:pt>
                <c:pt idx="21">
                  <c:v>39.66357476459504</c:v>
                </c:pt>
                <c:pt idx="22">
                  <c:v>36.992996496918003</c:v>
                </c:pt>
                <c:pt idx="23">
                  <c:v>34.259007238410291</c:v>
                </c:pt>
                <c:pt idx="24">
                  <c:v>31.461606989071875</c:v>
                </c:pt>
                <c:pt idx="25">
                  <c:v>28.60079574890278</c:v>
                </c:pt>
                <c:pt idx="26">
                  <c:v>25.676573517903002</c:v>
                </c:pt>
                <c:pt idx="27">
                  <c:v>22.688940296072534</c:v>
                </c:pt>
                <c:pt idx="28">
                  <c:v>19.63789608341138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4E6-1641-9325-5B869F78D8AF}"/>
            </c:ext>
          </c:extLst>
        </c:ser>
        <c:ser>
          <c:idx val="25"/>
          <c:order val="25"/>
          <c:tx>
            <c:strRef>
              <c:f>Sheet1!$E$112</c:f>
              <c:strCache>
                <c:ptCount val="1"/>
                <c:pt idx="0">
                  <c:v>客车价格弹性系数 = 0.225</c:v>
                </c:pt>
              </c:strCache>
            </c:strRef>
          </c:tx>
          <c:spPr>
            <a:ln w="28575" cap="rnd">
              <a:solidFill>
                <a:schemeClr val="accent1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Sheet1!$F$112:$AH$112</c:f>
              <c:numCache>
                <c:formatCode>0.00</c:formatCode>
                <c:ptCount val="29"/>
                <c:pt idx="0">
                  <c:v>81.910415740261783</c:v>
                </c:pt>
                <c:pt idx="1">
                  <c:v>80.491228987785718</c:v>
                </c:pt>
                <c:pt idx="2">
                  <c:v>79.012045682446796</c:v>
                </c:pt>
                <c:pt idx="3">
                  <c:v>77.472865824244991</c:v>
                </c:pt>
                <c:pt idx="4">
                  <c:v>75.873689413180315</c:v>
                </c:pt>
                <c:pt idx="5">
                  <c:v>74.214516449252741</c:v>
                </c:pt>
                <c:pt idx="6">
                  <c:v>72.495346932462297</c:v>
                </c:pt>
                <c:pt idx="7">
                  <c:v>70.716180862808983</c:v>
                </c:pt>
                <c:pt idx="8">
                  <c:v>68.877018240292756</c:v>
                </c:pt>
                <c:pt idx="9">
                  <c:v>66.977859064913673</c:v>
                </c:pt>
                <c:pt idx="10">
                  <c:v>65.018703336671706</c:v>
                </c:pt>
                <c:pt idx="11">
                  <c:v>62.999551055566847</c:v>
                </c:pt>
                <c:pt idx="12">
                  <c:v>60.920402221599112</c:v>
                </c:pt>
                <c:pt idx="13">
                  <c:v>58.781256834768499</c:v>
                </c:pt>
                <c:pt idx="14">
                  <c:v>56.582114895074994</c:v>
                </c:pt>
                <c:pt idx="15">
                  <c:v>54.322976402518663</c:v>
                </c:pt>
                <c:pt idx="16">
                  <c:v>52.003841357099404</c:v>
                </c:pt>
                <c:pt idx="17">
                  <c:v>49.624709758817268</c:v>
                </c:pt>
                <c:pt idx="18">
                  <c:v>47.185581607672241</c:v>
                </c:pt>
                <c:pt idx="19">
                  <c:v>44.686456903664343</c:v>
                </c:pt>
                <c:pt idx="20">
                  <c:v>42.127335646793568</c:v>
                </c:pt>
                <c:pt idx="21">
                  <c:v>39.508217837059853</c:v>
                </c:pt>
                <c:pt idx="22">
                  <c:v>36.829103474463302</c:v>
                </c:pt>
                <c:pt idx="23">
                  <c:v>34.089992559003875</c:v>
                </c:pt>
                <c:pt idx="24">
                  <c:v>31.290885090681567</c:v>
                </c:pt>
                <c:pt idx="25">
                  <c:v>28.43178106949637</c:v>
                </c:pt>
                <c:pt idx="26">
                  <c:v>25.512680495448301</c:v>
                </c:pt>
                <c:pt idx="27">
                  <c:v>22.533583368537347</c:v>
                </c:pt>
                <c:pt idx="28">
                  <c:v>19.494489688763515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4E6-1641-9325-5B869F78D8AF}"/>
            </c:ext>
          </c:extLst>
        </c:ser>
        <c:ser>
          <c:idx val="26"/>
          <c:order val="26"/>
          <c:tx>
            <c:strRef>
              <c:f>Sheet1!$E$113</c:f>
              <c:strCache>
                <c:ptCount val="1"/>
                <c:pt idx="0">
                  <c:v>客车价格弹性系数 = 0.200</c:v>
                </c:pt>
              </c:strCache>
            </c:strRef>
          </c:tx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Sheet1!$F$113:$AH$113</c:f>
              <c:numCache>
                <c:formatCode>0.00</c:formatCode>
                <c:ptCount val="29"/>
                <c:pt idx="0">
                  <c:v>82.723051976599663</c:v>
                </c:pt>
                <c:pt idx="1">
                  <c:v>81.223625931880164</c:v>
                </c:pt>
                <c:pt idx="2">
                  <c:v>79.667617772265601</c:v>
                </c:pt>
                <c:pt idx="3">
                  <c:v>78.055027497755972</c:v>
                </c:pt>
                <c:pt idx="4">
                  <c:v>76.385855108351251</c:v>
                </c:pt>
                <c:pt idx="5">
                  <c:v>74.660100604051465</c:v>
                </c:pt>
                <c:pt idx="6">
                  <c:v>72.877763984856585</c:v>
                </c:pt>
                <c:pt idx="7">
                  <c:v>71.038845250766656</c:v>
                </c:pt>
                <c:pt idx="8">
                  <c:v>69.143344401781647</c:v>
                </c:pt>
                <c:pt idx="9">
                  <c:v>67.191261437901559</c:v>
                </c:pt>
                <c:pt idx="10">
                  <c:v>65.182596359126393</c:v>
                </c:pt>
                <c:pt idx="11">
                  <c:v>63.117349165456154</c:v>
                </c:pt>
                <c:pt idx="12">
                  <c:v>60.995519856890851</c:v>
                </c:pt>
                <c:pt idx="13">
                  <c:v>58.817108433430469</c:v>
                </c:pt>
                <c:pt idx="14">
                  <c:v>56.582114895074994</c:v>
                </c:pt>
                <c:pt idx="15">
                  <c:v>54.290539241824504</c:v>
                </c:pt>
                <c:pt idx="16">
                  <c:v>51.9423814736789</c:v>
                </c:pt>
                <c:pt idx="17">
                  <c:v>49.537641590638209</c:v>
                </c:pt>
                <c:pt idx="18">
                  <c:v>47.076319592702454</c:v>
                </c:pt>
                <c:pt idx="19">
                  <c:v>44.558415479871613</c:v>
                </c:pt>
                <c:pt idx="20">
                  <c:v>41.983929252145707</c:v>
                </c:pt>
                <c:pt idx="21">
                  <c:v>39.352860909524665</c:v>
                </c:pt>
                <c:pt idx="22">
                  <c:v>36.665210452008608</c:v>
                </c:pt>
                <c:pt idx="23">
                  <c:v>33.920977879597473</c:v>
                </c:pt>
                <c:pt idx="24">
                  <c:v>31.120163192291251</c:v>
                </c:pt>
                <c:pt idx="25">
                  <c:v>28.262766390089958</c:v>
                </c:pt>
                <c:pt idx="26">
                  <c:v>25.348787472993603</c:v>
                </c:pt>
                <c:pt idx="27">
                  <c:v>22.378226441002159</c:v>
                </c:pt>
                <c:pt idx="28">
                  <c:v>19.351083294115654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4E6-1641-9325-5B869F78D8AF}"/>
            </c:ext>
          </c:extLst>
        </c:ser>
        <c:ser>
          <c:idx val="27"/>
          <c:order val="27"/>
          <c:tx>
            <c:strRef>
              <c:f>Sheet1!$E$114</c:f>
              <c:strCache>
                <c:ptCount val="1"/>
                <c:pt idx="0">
                  <c:v>客车价格弹性系数 = 0.175</c:v>
                </c:pt>
              </c:strCache>
            </c:strRef>
          </c:tx>
          <c:spPr>
            <a:ln w="28575" cap="rnd">
              <a:solidFill>
                <a:schemeClr val="accent1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Sheet1!$F$114:$AH$114</c:f>
              <c:numCache>
                <c:formatCode>0.00</c:formatCode>
                <c:ptCount val="29"/>
                <c:pt idx="0">
                  <c:v>83.535688212937544</c:v>
                </c:pt>
                <c:pt idx="1">
                  <c:v>81.956022875974583</c:v>
                </c:pt>
                <c:pt idx="2">
                  <c:v>80.323189862084405</c:v>
                </c:pt>
                <c:pt idx="3">
                  <c:v>78.63718917126694</c:v>
                </c:pt>
                <c:pt idx="4">
                  <c:v>76.898020803522186</c:v>
                </c:pt>
                <c:pt idx="5">
                  <c:v>75.105684758850188</c:v>
                </c:pt>
                <c:pt idx="6">
                  <c:v>73.260181037250888</c:v>
                </c:pt>
                <c:pt idx="7">
                  <c:v>71.361509638724357</c:v>
                </c:pt>
                <c:pt idx="8">
                  <c:v>69.409670563270538</c:v>
                </c:pt>
                <c:pt idx="9">
                  <c:v>67.404663810889446</c:v>
                </c:pt>
                <c:pt idx="10">
                  <c:v>65.346489381581108</c:v>
                </c:pt>
                <c:pt idx="11">
                  <c:v>63.235147275345483</c:v>
                </c:pt>
                <c:pt idx="12">
                  <c:v>61.070637492182591</c:v>
                </c:pt>
                <c:pt idx="13">
                  <c:v>58.852960032092426</c:v>
                </c:pt>
                <c:pt idx="14">
                  <c:v>56.582114895074994</c:v>
                </c:pt>
                <c:pt idx="15">
                  <c:v>54.258102081130346</c:v>
                </c:pt>
                <c:pt idx="16">
                  <c:v>51.880921590258382</c:v>
                </c:pt>
                <c:pt idx="17">
                  <c:v>49.450573422459144</c:v>
                </c:pt>
                <c:pt idx="18">
                  <c:v>46.967057577732653</c:v>
                </c:pt>
                <c:pt idx="19">
                  <c:v>44.430374056078875</c:v>
                </c:pt>
                <c:pt idx="20">
                  <c:v>41.840522857497845</c:v>
                </c:pt>
                <c:pt idx="21">
                  <c:v>39.197503981989485</c:v>
                </c:pt>
                <c:pt idx="22">
                  <c:v>36.5013174295539</c:v>
                </c:pt>
                <c:pt idx="23">
                  <c:v>33.751963200191049</c:v>
                </c:pt>
                <c:pt idx="24">
                  <c:v>30.949441293900939</c:v>
                </c:pt>
                <c:pt idx="25">
                  <c:v>28.093751710683549</c:v>
                </c:pt>
                <c:pt idx="26">
                  <c:v>25.184894450538902</c:v>
                </c:pt>
                <c:pt idx="27">
                  <c:v>22.222869513466978</c:v>
                </c:pt>
                <c:pt idx="28">
                  <c:v>19.207676899467792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4E6-1641-9325-5B869F78D8AF}"/>
            </c:ext>
          </c:extLst>
        </c:ser>
        <c:ser>
          <c:idx val="28"/>
          <c:order val="28"/>
          <c:tx>
            <c:strRef>
              <c:f>Sheet1!$E$115</c:f>
              <c:strCache>
                <c:ptCount val="1"/>
                <c:pt idx="0">
                  <c:v>客车价格弹性系数 = 0.150</c:v>
                </c:pt>
              </c:strCache>
            </c:strRef>
          </c:tx>
          <c:spPr>
            <a:ln w="28575" cap="rnd">
              <a:solidFill>
                <a:schemeClr val="accent1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Sheet1!$F$86:$AH$86</c:f>
              <c:numCache>
                <c:formatCode>General</c:formatCode>
                <c:ptCount val="29"/>
                <c:pt idx="0">
                  <c:v>25.5</c:v>
                </c:pt>
                <c:pt idx="1">
                  <c:v>24.75</c:v>
                </c:pt>
                <c:pt idx="2">
                  <c:v>24</c:v>
                </c:pt>
                <c:pt idx="3">
                  <c:v>23.25</c:v>
                </c:pt>
                <c:pt idx="4">
                  <c:v>22.5</c:v>
                </c:pt>
                <c:pt idx="5">
                  <c:v>21.75</c:v>
                </c:pt>
                <c:pt idx="6">
                  <c:v>21</c:v>
                </c:pt>
                <c:pt idx="7">
                  <c:v>20.25</c:v>
                </c:pt>
                <c:pt idx="8">
                  <c:v>19.5</c:v>
                </c:pt>
                <c:pt idx="9">
                  <c:v>18.75</c:v>
                </c:pt>
                <c:pt idx="10">
                  <c:v>18</c:v>
                </c:pt>
                <c:pt idx="11">
                  <c:v>17.25</c:v>
                </c:pt>
                <c:pt idx="12">
                  <c:v>16.5</c:v>
                </c:pt>
                <c:pt idx="13">
                  <c:v>15.75</c:v>
                </c:pt>
                <c:pt idx="14" formatCode="0.00">
                  <c:v>15</c:v>
                </c:pt>
                <c:pt idx="15">
                  <c:v>14.250000000000014</c:v>
                </c:pt>
                <c:pt idx="16">
                  <c:v>13.500000000000014</c:v>
                </c:pt>
                <c:pt idx="17">
                  <c:v>12.750000000000014</c:v>
                </c:pt>
                <c:pt idx="18">
                  <c:v>12.000000000000014</c:v>
                </c:pt>
                <c:pt idx="19">
                  <c:v>11.250000000000014</c:v>
                </c:pt>
                <c:pt idx="20">
                  <c:v>10.500000000000016</c:v>
                </c:pt>
                <c:pt idx="21">
                  <c:v>9.75</c:v>
                </c:pt>
                <c:pt idx="22">
                  <c:v>9</c:v>
                </c:pt>
                <c:pt idx="23">
                  <c:v>8.25</c:v>
                </c:pt>
                <c:pt idx="24">
                  <c:v>7.5</c:v>
                </c:pt>
                <c:pt idx="25">
                  <c:v>6.7499999999999991</c:v>
                </c:pt>
                <c:pt idx="26">
                  <c:v>6</c:v>
                </c:pt>
                <c:pt idx="27">
                  <c:v>5.25</c:v>
                </c:pt>
                <c:pt idx="28">
                  <c:v>4.5000000000000009</c:v>
                </c:pt>
              </c:numCache>
            </c:numRef>
          </c:cat>
          <c:val>
            <c:numRef>
              <c:f>Sheet1!$F$115:$AH$115</c:f>
              <c:numCache>
                <c:formatCode>0.00</c:formatCode>
                <c:ptCount val="29"/>
                <c:pt idx="0">
                  <c:v>84.348324449275424</c:v>
                </c:pt>
                <c:pt idx="1">
                  <c:v>82.688419820069043</c:v>
                </c:pt>
                <c:pt idx="2">
                  <c:v>80.978761951903209</c:v>
                </c:pt>
                <c:pt idx="3">
                  <c:v>79.219350844777892</c:v>
                </c:pt>
                <c:pt idx="4">
                  <c:v>77.410186498693122</c:v>
                </c:pt>
                <c:pt idx="5">
                  <c:v>75.551268913648897</c:v>
                </c:pt>
                <c:pt idx="6">
                  <c:v>73.64259808964519</c:v>
                </c:pt>
                <c:pt idx="7">
                  <c:v>71.684174026682044</c:v>
                </c:pt>
                <c:pt idx="8">
                  <c:v>69.675996724759429</c:v>
                </c:pt>
                <c:pt idx="9">
                  <c:v>67.618066183877346</c:v>
                </c:pt>
                <c:pt idx="10">
                  <c:v>65.510382404035809</c:v>
                </c:pt>
                <c:pt idx="11">
                  <c:v>63.35294538523479</c:v>
                </c:pt>
                <c:pt idx="12">
                  <c:v>61.145755127474324</c:v>
                </c:pt>
                <c:pt idx="13">
                  <c:v>58.88881163075439</c:v>
                </c:pt>
                <c:pt idx="14">
                  <c:v>56.582114895074994</c:v>
                </c:pt>
                <c:pt idx="15">
                  <c:v>54.225664920436188</c:v>
                </c:pt>
                <c:pt idx="16">
                  <c:v>51.819461706837878</c:v>
                </c:pt>
                <c:pt idx="17">
                  <c:v>49.363505254280092</c:v>
                </c:pt>
                <c:pt idx="18">
                  <c:v>46.857795562762838</c:v>
                </c:pt>
                <c:pt idx="19">
                  <c:v>44.302332632286145</c:v>
                </c:pt>
                <c:pt idx="20">
                  <c:v>41.697116462849991</c:v>
                </c:pt>
                <c:pt idx="21">
                  <c:v>39.042147054454297</c:v>
                </c:pt>
                <c:pt idx="22">
                  <c:v>36.337424407099199</c:v>
                </c:pt>
                <c:pt idx="23">
                  <c:v>33.582948520784647</c:v>
                </c:pt>
                <c:pt idx="24">
                  <c:v>30.778719395510624</c:v>
                </c:pt>
                <c:pt idx="25">
                  <c:v>27.924737031277139</c:v>
                </c:pt>
                <c:pt idx="26">
                  <c:v>25.021001428084197</c:v>
                </c:pt>
                <c:pt idx="27">
                  <c:v>22.067512585931794</c:v>
                </c:pt>
                <c:pt idx="28">
                  <c:v>19.064270504819927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4E6-1641-9325-5B869F78D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885840"/>
        <c:axId val="1742480624"/>
      </c:lineChart>
      <c:catAx>
        <c:axId val="174188584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  <a:alpha val="32000"/>
                </a:sysClr>
              </a:solidFill>
              <a:prstDash val="dash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742480624"/>
        <c:crosses val="autoZero"/>
        <c:auto val="1"/>
        <c:lblAlgn val="ctr"/>
        <c:lblOffset val="100"/>
        <c:noMultiLvlLbl val="0"/>
      </c:catAx>
      <c:valAx>
        <c:axId val="17424806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72000"/>
                </a:schemeClr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en-US"/>
          </a:p>
        </c:txPr>
        <c:crossAx val="1741885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0973574596560158E-3"/>
          <c:y val="1.0824054287319834E-2"/>
          <c:w val="0.94848660891453807"/>
          <c:h val="0.21466713334155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364067</xdr:colOff>
      <xdr:row>29</xdr:row>
      <xdr:rowOff>59268</xdr:rowOff>
    </xdr:from>
    <xdr:to>
      <xdr:col>23</xdr:col>
      <xdr:colOff>254000</xdr:colOff>
      <xdr:row>42</xdr:row>
      <xdr:rowOff>33868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C04EA6-984A-9A4B-0404-86B309299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</xdr:colOff>
      <xdr:row>23</xdr:row>
      <xdr:rowOff>8468</xdr:rowOff>
    </xdr:from>
    <xdr:to>
      <xdr:col>36</xdr:col>
      <xdr:colOff>541867</xdr:colOff>
      <xdr:row>39</xdr:row>
      <xdr:rowOff>160866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964174-9097-6952-99D9-74B8DF618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0.83633</cdr:x>
      <cdr:y>0.88272</cdr:y>
    </cdr:from>
    <cdr:to>
      <cdr:x>0.9905</cdr:x>
      <cdr:y>0.98457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61E961-24E8-CEF9-9FE1-87677DABA488}"/>
            </a:ext>
          </a:extLst>
        </cdr:cNvPr>
        <cdr:cNvSpPr txBox="1"/>
      </cdr:nvSpPr>
      <cdr:spPr>
        <a:xfrm xmlns:a="http://schemas.openxmlformats.org/drawingml/2006/main">
          <a:off x="6705599" y="2421466"/>
          <a:ext cx="1236133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r"/>
          <a:r>
            <a:rPr lang="en-US" sz="1000" b="1" i="1">
              <a:solidFill>
                <a:schemeClr val="tx1">
                  <a:lumMod val="50000"/>
                  <a:lumOff val="50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单位</a:t>
          </a:r>
          <a:r>
            <a:rPr lang="zh-CN" altLang="en-US" sz="1000" b="1" i="1">
              <a:solidFill>
                <a:schemeClr val="tx1">
                  <a:lumMod val="50000"/>
                  <a:lumOff val="50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：亿元</a:t>
          </a:r>
          <a:endParaRPr lang="en-US" sz="1000" b="1" i="1">
            <a:solidFill>
              <a:schemeClr val="tx1">
                <a:lumMod val="50000"/>
                <a:lumOff val="50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364067</xdr:colOff>
      <xdr:row>35</xdr:row>
      <xdr:rowOff>59268</xdr:rowOff>
    </xdr:from>
    <xdr:to>
      <xdr:col>23</xdr:col>
      <xdr:colOff>254000</xdr:colOff>
      <xdr:row>51</xdr:row>
      <xdr:rowOff>33868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0C390-2C6E-8F4D-94E7-41E23D9D5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</xdr:colOff>
      <xdr:row>29</xdr:row>
      <xdr:rowOff>8468</xdr:rowOff>
    </xdr:from>
    <xdr:to>
      <xdr:col>36</xdr:col>
      <xdr:colOff>541867</xdr:colOff>
      <xdr:row>48</xdr:row>
      <xdr:rowOff>160866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2AAD25-B0F7-9A45-A708-6AD49AAB2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0.83633</cdr:x>
      <cdr:y>0.88272</cdr:y>
    </cdr:from>
    <cdr:to>
      <cdr:x>0.9905</cdr:x>
      <cdr:y>0.98457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61E961-24E8-CEF9-9FE1-87677DABA488}"/>
            </a:ext>
          </a:extLst>
        </cdr:cNvPr>
        <cdr:cNvSpPr txBox="1"/>
      </cdr:nvSpPr>
      <cdr:spPr>
        <a:xfrm xmlns:a="http://schemas.openxmlformats.org/drawingml/2006/main">
          <a:off x="6705599" y="2421466"/>
          <a:ext cx="1236133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r"/>
          <a:r>
            <a:rPr lang="en-US" sz="1000" b="1" i="1">
              <a:solidFill>
                <a:schemeClr val="tx1">
                  <a:lumMod val="50000"/>
                  <a:lumOff val="50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单位</a:t>
          </a:r>
          <a:r>
            <a:rPr lang="zh-CN" altLang="en-US" sz="1000" b="1" i="1">
              <a:solidFill>
                <a:schemeClr val="tx1">
                  <a:lumMod val="50000"/>
                  <a:lumOff val="50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：亿元</a:t>
          </a:r>
          <a:endParaRPr lang="en-US" sz="1000" b="1" i="1">
            <a:solidFill>
              <a:schemeClr val="tx1">
                <a:lumMod val="50000"/>
                <a:lumOff val="50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364067</xdr:colOff>
      <xdr:row>35</xdr:row>
      <xdr:rowOff>59268</xdr:rowOff>
    </xdr:from>
    <xdr:to>
      <xdr:col>23</xdr:col>
      <xdr:colOff>254000</xdr:colOff>
      <xdr:row>51</xdr:row>
      <xdr:rowOff>33868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D5CE2-C097-344D-BB2E-FD57DE799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</xdr:colOff>
      <xdr:row>29</xdr:row>
      <xdr:rowOff>8468</xdr:rowOff>
    </xdr:from>
    <xdr:to>
      <xdr:col>36</xdr:col>
      <xdr:colOff>541867</xdr:colOff>
      <xdr:row>48</xdr:row>
      <xdr:rowOff>160866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1BF72B-A606-0844-B0D5-319210966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0.83633</cdr:x>
      <cdr:y>0.88272</cdr:y>
    </cdr:from>
    <cdr:to>
      <cdr:x>0.9905</cdr:x>
      <cdr:y>0.98457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61E961-24E8-CEF9-9FE1-87677DABA488}"/>
            </a:ext>
          </a:extLst>
        </cdr:cNvPr>
        <cdr:cNvSpPr txBox="1"/>
      </cdr:nvSpPr>
      <cdr:spPr>
        <a:xfrm xmlns:a="http://schemas.openxmlformats.org/drawingml/2006/main">
          <a:off x="6705599" y="2421466"/>
          <a:ext cx="1236133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r"/>
          <a:r>
            <a:rPr lang="en-US" sz="1000" b="1" i="1">
              <a:solidFill>
                <a:schemeClr val="tx1">
                  <a:lumMod val="50000"/>
                  <a:lumOff val="50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单位</a:t>
          </a:r>
          <a:r>
            <a:rPr lang="zh-CN" altLang="en-US" sz="1000" b="1" i="1">
              <a:solidFill>
                <a:schemeClr val="tx1">
                  <a:lumMod val="50000"/>
                  <a:lumOff val="50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：亿元</a:t>
          </a:r>
          <a:endParaRPr lang="en-US" sz="1000" b="1" i="1">
            <a:solidFill>
              <a:schemeClr val="tx1">
                <a:lumMod val="50000"/>
                <a:lumOff val="50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188144</xdr:colOff>
      <xdr:row>118</xdr:row>
      <xdr:rowOff>141112</xdr:rowOff>
    </xdr:from>
    <xdr:to>
      <xdr:col>37</xdr:col>
      <xdr:colOff>360617</xdr:colOff>
      <xdr:row>156</xdr:row>
      <xdr:rowOff>31358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0FBBDB-C408-C3D1-A8A9-D4902BECD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4"/>
  <sheetViews>
    <sheetView showGridLines="0" tabSelected="1" zoomScale="150" workbookViewId="0">
      <pane xSplit="2" ySplit="15" topLeftCell="C16" activePane="bottomRight" state="frozen"/>
      <selection pane="topRight"/>
      <selection pane="bottomLeft"/>
      <selection pane="bottomRight" activeCell="D24" sqref="D24"/>
    </sheetView>
  </sheetViews>
  <sheetFormatPr baseColWidth="10" defaultColWidth="8.83203125" defaultRowHeight="15" x14ac:dyDescent="0.2"/>
  <cols>
    <col min="1" max="1" width="25" customWidth="1"/>
    <col min="2" max="2" width="12" customWidth="1"/>
    <col min="3" max="7" width="15" customWidth="1"/>
    <col min="8" max="9" width="14" customWidth="1"/>
    <col min="10" max="10" width="16" customWidth="1"/>
    <col min="26" max="26" width="8.83203125" customWidth="1"/>
    <col min="40" max="40" width="12.33203125" customWidth="1"/>
    <col min="41" max="46" width="10.1640625" customWidth="1"/>
  </cols>
  <sheetData>
    <row r="1" spans="1:10" ht="17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x14ac:dyDescent="0.2">
      <c r="A3" s="41" t="s">
        <v>1</v>
      </c>
      <c r="B3" s="37"/>
      <c r="C3" s="37"/>
      <c r="D3" s="37"/>
      <c r="F3" s="43" t="s">
        <v>2</v>
      </c>
      <c r="G3" s="43"/>
      <c r="H3" s="43"/>
      <c r="I3" s="21"/>
      <c r="J3" s="21"/>
    </row>
    <row r="4" spans="1:10" x14ac:dyDescent="0.2">
      <c r="A4" s="1" t="s">
        <v>3</v>
      </c>
      <c r="B4" s="2">
        <f>SUM(G7:G8)</f>
        <v>50000000</v>
      </c>
      <c r="C4" s="3" t="s">
        <v>4</v>
      </c>
      <c r="F4" s="1" t="s">
        <v>5</v>
      </c>
      <c r="G4" s="4">
        <v>15</v>
      </c>
      <c r="H4" s="3" t="s">
        <v>6</v>
      </c>
    </row>
    <row r="5" spans="1:10" x14ac:dyDescent="0.2">
      <c r="A5" s="1" t="s">
        <v>7</v>
      </c>
      <c r="B5" s="5">
        <f>G13</f>
        <v>21.75</v>
      </c>
      <c r="C5" s="3" t="s">
        <v>6</v>
      </c>
      <c r="F5" s="1" t="s">
        <v>46</v>
      </c>
      <c r="G5" s="6">
        <v>1</v>
      </c>
      <c r="H5" s="3" t="s">
        <v>8</v>
      </c>
    </row>
    <row r="6" spans="1:10" x14ac:dyDescent="0.2">
      <c r="A6" s="1" t="s">
        <v>9</v>
      </c>
      <c r="B6" s="7">
        <v>0.98</v>
      </c>
      <c r="C6" s="3"/>
      <c r="F6" s="1" t="s">
        <v>43</v>
      </c>
      <c r="G6" s="6">
        <v>2.5</v>
      </c>
      <c r="H6" s="3" t="s">
        <v>8</v>
      </c>
    </row>
    <row r="7" spans="1:10" x14ac:dyDescent="0.2">
      <c r="A7" s="1" t="s">
        <v>10</v>
      </c>
      <c r="B7" s="7">
        <v>0.03</v>
      </c>
      <c r="C7" s="3"/>
      <c r="F7" s="1" t="s">
        <v>39</v>
      </c>
      <c r="G7" s="8">
        <v>35000000</v>
      </c>
      <c r="H7" s="3" t="s">
        <v>4</v>
      </c>
    </row>
    <row r="8" spans="1:10" x14ac:dyDescent="0.2">
      <c r="A8" s="1" t="s">
        <v>11</v>
      </c>
      <c r="B8" s="9">
        <v>4</v>
      </c>
      <c r="C8" s="3" t="s">
        <v>12</v>
      </c>
      <c r="F8" s="1" t="s">
        <v>38</v>
      </c>
      <c r="G8" s="8">
        <v>15000000</v>
      </c>
      <c r="H8" s="3" t="s">
        <v>4</v>
      </c>
    </row>
    <row r="9" spans="1:10" x14ac:dyDescent="0.2">
      <c r="A9" s="1" t="s">
        <v>13</v>
      </c>
      <c r="B9" s="9">
        <v>1</v>
      </c>
      <c r="C9" s="3" t="s">
        <v>12</v>
      </c>
      <c r="F9" s="1" t="s">
        <v>47</v>
      </c>
      <c r="G9" s="10">
        <f>G7/SUM(G7:G8)</f>
        <v>0.7</v>
      </c>
      <c r="H9" s="3"/>
    </row>
    <row r="10" spans="1:10" x14ac:dyDescent="0.2">
      <c r="A10" s="1" t="s">
        <v>14</v>
      </c>
      <c r="B10" s="7">
        <v>0.13</v>
      </c>
      <c r="C10" s="3"/>
      <c r="F10" s="1" t="s">
        <v>40</v>
      </c>
      <c r="G10" s="10">
        <f>G8/SUM(G7:G8)</f>
        <v>0.3</v>
      </c>
      <c r="H10" s="3"/>
    </row>
    <row r="11" spans="1:10" x14ac:dyDescent="0.2">
      <c r="A11" s="1" t="s">
        <v>15</v>
      </c>
      <c r="B11" s="7">
        <v>0.08</v>
      </c>
      <c r="C11" s="3"/>
      <c r="F11" s="1" t="s">
        <v>48</v>
      </c>
      <c r="G11" s="5">
        <f>G4*G5</f>
        <v>15</v>
      </c>
      <c r="H11" s="3" t="s">
        <v>6</v>
      </c>
    </row>
    <row r="12" spans="1:10" x14ac:dyDescent="0.2">
      <c r="A12" s="1" t="s">
        <v>16</v>
      </c>
      <c r="B12" s="6">
        <v>5</v>
      </c>
      <c r="C12" s="3" t="s">
        <v>17</v>
      </c>
      <c r="F12" s="1" t="s">
        <v>41</v>
      </c>
      <c r="G12" s="5">
        <f>G4*G6</f>
        <v>37.5</v>
      </c>
      <c r="H12" s="3" t="s">
        <v>6</v>
      </c>
    </row>
    <row r="13" spans="1:10" x14ac:dyDescent="0.2">
      <c r="F13" s="1" t="s">
        <v>18</v>
      </c>
      <c r="G13" s="5">
        <f>SUMPRODUCT(G7:G8,G11:G12)/SUM(G7:G8)</f>
        <v>21.75</v>
      </c>
      <c r="H13" s="3" t="s">
        <v>6</v>
      </c>
    </row>
    <row r="14" spans="1:10" ht="30" customHeight="1" x14ac:dyDescent="0.2">
      <c r="A14" s="40" t="s">
        <v>52</v>
      </c>
      <c r="B14" s="37"/>
      <c r="C14" s="37"/>
      <c r="D14" s="37"/>
      <c r="E14" s="37"/>
      <c r="F14" s="37"/>
      <c r="G14" s="37"/>
      <c r="H14" s="37"/>
      <c r="I14" s="37"/>
      <c r="J14" s="37"/>
    </row>
    <row r="15" spans="1:10" x14ac:dyDescent="0.2">
      <c r="A15" s="41" t="s">
        <v>19</v>
      </c>
      <c r="B15" s="37"/>
      <c r="C15" s="37"/>
      <c r="D15" s="37"/>
      <c r="E15" s="37"/>
      <c r="F15" s="37"/>
      <c r="G15" s="37"/>
      <c r="I15" s="42"/>
      <c r="J15" s="37"/>
    </row>
    <row r="16" spans="1:10" x14ac:dyDescent="0.2">
      <c r="A16" s="11" t="s">
        <v>20</v>
      </c>
      <c r="B16" s="11" t="s">
        <v>21</v>
      </c>
      <c r="C16" s="11">
        <v>2026</v>
      </c>
      <c r="D16" s="11">
        <f>C16+1</f>
        <v>2027</v>
      </c>
      <c r="E16" s="11">
        <f>D16+1</f>
        <v>2028</v>
      </c>
      <c r="F16" s="11">
        <f>E16+1</f>
        <v>2029</v>
      </c>
      <c r="G16" s="11">
        <f>F16+1</f>
        <v>2030</v>
      </c>
      <c r="I16" s="37"/>
      <c r="J16" s="37"/>
    </row>
    <row r="17" spans="1:46" x14ac:dyDescent="0.2">
      <c r="A17" t="s">
        <v>49</v>
      </c>
      <c r="B17" t="s">
        <v>4</v>
      </c>
      <c r="C17" s="12">
        <f>G7</f>
        <v>35000000</v>
      </c>
      <c r="D17" s="12">
        <f>C17*(1+$B$7)</f>
        <v>36050000</v>
      </c>
      <c r="E17" s="12">
        <f t="shared" ref="E17:G17" si="0">D17*(1+$B$7)</f>
        <v>37131500</v>
      </c>
      <c r="F17" s="12">
        <f t="shared" si="0"/>
        <v>38245445</v>
      </c>
      <c r="G17" s="12">
        <f t="shared" si="0"/>
        <v>39392808.350000001</v>
      </c>
      <c r="I17" s="37"/>
      <c r="J17" s="37"/>
      <c r="L17" t="s">
        <v>62</v>
      </c>
      <c r="R17" s="25">
        <f>C37</f>
        <v>21.762910257757106</v>
      </c>
      <c r="S17">
        <v>0</v>
      </c>
      <c r="T17">
        <v>1</v>
      </c>
      <c r="U17">
        <v>2</v>
      </c>
      <c r="V17">
        <v>3</v>
      </c>
      <c r="W17">
        <v>4</v>
      </c>
      <c r="X17">
        <v>5</v>
      </c>
      <c r="Z17" s="26" t="s">
        <v>75</v>
      </c>
      <c r="AA17" s="26" t="s">
        <v>70</v>
      </c>
      <c r="AB17" s="26" t="s">
        <v>71</v>
      </c>
      <c r="AC17" s="26" t="s">
        <v>72</v>
      </c>
      <c r="AD17" s="26" t="s">
        <v>73</v>
      </c>
      <c r="AE17" s="26" t="s">
        <v>74</v>
      </c>
      <c r="AN17" s="28"/>
      <c r="AO17" s="29" t="s">
        <v>75</v>
      </c>
      <c r="AP17" s="29" t="s">
        <v>70</v>
      </c>
      <c r="AQ17" s="29" t="s">
        <v>71</v>
      </c>
      <c r="AR17" s="29" t="s">
        <v>72</v>
      </c>
      <c r="AS17" s="29" t="s">
        <v>73</v>
      </c>
      <c r="AT17" s="30" t="s">
        <v>74</v>
      </c>
    </row>
    <row r="18" spans="1:46" x14ac:dyDescent="0.2">
      <c r="A18" t="s">
        <v>50</v>
      </c>
      <c r="B18" t="s">
        <v>22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I18" s="37"/>
      <c r="J18" s="37"/>
      <c r="L18" t="s">
        <v>64</v>
      </c>
      <c r="M18" t="s">
        <v>63</v>
      </c>
      <c r="R18" s="25">
        <v>0.1</v>
      </c>
      <c r="S18">
        <f t="dataTable" ref="S18:X22" dt2D="1" dtr="1" r1="M19" r2="L19"/>
        <v>21.762910257757106</v>
      </c>
      <c r="T18">
        <v>21.703699519615171</v>
      </c>
      <c r="U18">
        <v>21.63975192242188</v>
      </c>
      <c r="V18">
        <v>21.570688517453128</v>
      </c>
      <c r="W18">
        <v>21.496100040086873</v>
      </c>
      <c r="X18">
        <v>21.415544484531317</v>
      </c>
      <c r="Y18" s="26" t="s">
        <v>65</v>
      </c>
      <c r="Z18" s="24" cm="1">
        <f t="array" ref="Z18:AE22">S18:X22</f>
        <v>21.762910257757106</v>
      </c>
      <c r="AA18" s="24">
        <v>21.703699519615171</v>
      </c>
      <c r="AB18" s="24">
        <v>21.63975192242188</v>
      </c>
      <c r="AC18" s="24">
        <v>21.570688517453128</v>
      </c>
      <c r="AD18" s="24">
        <v>21.496100040086873</v>
      </c>
      <c r="AE18" s="24">
        <v>21.415544484531317</v>
      </c>
      <c r="AN18" s="31" t="s">
        <v>65</v>
      </c>
      <c r="AO18" s="24">
        <v>21.762910257757106</v>
      </c>
      <c r="AP18" s="24">
        <v>21.703699519615171</v>
      </c>
      <c r="AQ18" s="24">
        <v>21.63975192242188</v>
      </c>
      <c r="AR18" s="24">
        <v>21.570688517453128</v>
      </c>
      <c r="AS18" s="24">
        <v>21.496100040086873</v>
      </c>
      <c r="AT18" s="32">
        <v>21.415544484531317</v>
      </c>
    </row>
    <row r="19" spans="1:46" x14ac:dyDescent="0.2">
      <c r="A19" t="s">
        <v>48</v>
      </c>
      <c r="B19" t="s">
        <v>6</v>
      </c>
      <c r="C19" s="14">
        <f>G11</f>
        <v>15</v>
      </c>
      <c r="D19" s="14">
        <f>G11</f>
        <v>15</v>
      </c>
      <c r="E19" s="14">
        <f>G11</f>
        <v>15</v>
      </c>
      <c r="F19" s="14">
        <f>G11</f>
        <v>15</v>
      </c>
      <c r="G19" s="14">
        <f>G11</f>
        <v>15</v>
      </c>
      <c r="I19" s="37"/>
      <c r="J19" s="37"/>
      <c r="L19">
        <v>0</v>
      </c>
      <c r="M19">
        <v>0</v>
      </c>
      <c r="R19">
        <v>0.3</v>
      </c>
      <c r="S19">
        <v>21.762910257757106</v>
      </c>
      <c r="T19">
        <v>21.5852780433313</v>
      </c>
      <c r="U19">
        <v>21.393435251751427</v>
      </c>
      <c r="V19">
        <v>21.186245036845161</v>
      </c>
      <c r="W19">
        <v>20.962479604746395</v>
      </c>
      <c r="X19">
        <v>20.720812938079732</v>
      </c>
      <c r="Y19" s="26" t="s">
        <v>66</v>
      </c>
      <c r="Z19" s="24">
        <v>21.762910257757106</v>
      </c>
      <c r="AA19" s="24">
        <v>21.5852780433313</v>
      </c>
      <c r="AB19" s="24">
        <v>21.393435251751427</v>
      </c>
      <c r="AC19" s="24">
        <v>21.186245036845161</v>
      </c>
      <c r="AD19" s="24">
        <v>20.962479604746395</v>
      </c>
      <c r="AE19" s="24">
        <v>20.720812938079732</v>
      </c>
      <c r="AN19" s="31" t="s">
        <v>66</v>
      </c>
      <c r="AO19" s="24">
        <v>21.762910257757106</v>
      </c>
      <c r="AP19" s="24">
        <v>21.5852780433313</v>
      </c>
      <c r="AQ19" s="24">
        <v>21.393435251751427</v>
      </c>
      <c r="AR19" s="24">
        <v>21.186245036845161</v>
      </c>
      <c r="AS19" s="24">
        <v>20.962479604746395</v>
      </c>
      <c r="AT19" s="32">
        <v>20.720812938079732</v>
      </c>
    </row>
    <row r="20" spans="1:46" x14ac:dyDescent="0.2">
      <c r="A20" t="s">
        <v>51</v>
      </c>
      <c r="B20" t="s">
        <v>12</v>
      </c>
      <c r="C20" s="15">
        <f>C17*(1+C18)*C19/100000000</f>
        <v>5.25</v>
      </c>
      <c r="D20" s="15">
        <f t="shared" ref="D20:G20" si="1">D17*(1+D18)*D19/100000000</f>
        <v>5.4074999999999998</v>
      </c>
      <c r="E20" s="15">
        <f t="shared" si="1"/>
        <v>5.569725</v>
      </c>
      <c r="F20" s="15">
        <f t="shared" si="1"/>
        <v>5.73681675</v>
      </c>
      <c r="G20" s="15">
        <f t="shared" si="1"/>
        <v>5.9089212524999999</v>
      </c>
      <c r="I20" s="37"/>
      <c r="J20" s="37"/>
      <c r="R20">
        <v>0.5</v>
      </c>
      <c r="S20">
        <v>21.762910257757106</v>
      </c>
      <c r="T20">
        <v>21.466856567047426</v>
      </c>
      <c r="U20">
        <v>21.147118581080971</v>
      </c>
      <c r="V20">
        <v>20.801801556237194</v>
      </c>
      <c r="W20">
        <v>20.428859169405918</v>
      </c>
      <c r="X20">
        <v>20.026081391628143</v>
      </c>
      <c r="Y20" s="26" t="s">
        <v>67</v>
      </c>
      <c r="Z20" s="24">
        <v>21.762910257757106</v>
      </c>
      <c r="AA20" s="24">
        <v>21.466856567047426</v>
      </c>
      <c r="AB20" s="24">
        <v>21.147118581080971</v>
      </c>
      <c r="AC20" s="24">
        <v>20.801801556237194</v>
      </c>
      <c r="AD20" s="24">
        <v>20.428859169405918</v>
      </c>
      <c r="AE20" s="24">
        <v>20.026081391628143</v>
      </c>
      <c r="AN20" s="31" t="s">
        <v>67</v>
      </c>
      <c r="AO20" s="24">
        <v>21.762910257757106</v>
      </c>
      <c r="AP20" s="24">
        <v>21.466856567047426</v>
      </c>
      <c r="AQ20" s="24">
        <v>21.147118581080971</v>
      </c>
      <c r="AR20" s="24">
        <v>20.801801556237194</v>
      </c>
      <c r="AS20" s="24">
        <v>20.428859169405918</v>
      </c>
      <c r="AT20" s="32">
        <v>20.026081391628143</v>
      </c>
    </row>
    <row r="21" spans="1:46" x14ac:dyDescent="0.2">
      <c r="A21" t="s">
        <v>44</v>
      </c>
      <c r="B21" t="s">
        <v>4</v>
      </c>
      <c r="C21" s="12">
        <f>G8</f>
        <v>15000000</v>
      </c>
      <c r="D21" s="12">
        <f>C21*(1+$B$7)</f>
        <v>15450000</v>
      </c>
      <c r="E21" s="12">
        <f t="shared" ref="E21:G21" si="2">D21*(1+$B$7)</f>
        <v>15913500</v>
      </c>
      <c r="F21" s="12">
        <f t="shared" si="2"/>
        <v>16390905</v>
      </c>
      <c r="G21" s="12">
        <f t="shared" si="2"/>
        <v>16882632.150000002</v>
      </c>
      <c r="I21" s="37"/>
      <c r="J21" s="37"/>
      <c r="R21">
        <v>0.7</v>
      </c>
      <c r="S21">
        <v>21.762910257757106</v>
      </c>
      <c r="T21">
        <v>21.348435090763552</v>
      </c>
      <c r="U21">
        <v>20.900801910410511</v>
      </c>
      <c r="V21">
        <v>20.417358075629227</v>
      </c>
      <c r="W21">
        <v>19.89523873406544</v>
      </c>
      <c r="X21">
        <v>19.331349845176554</v>
      </c>
      <c r="Y21" s="26" t="s">
        <v>68</v>
      </c>
      <c r="Z21" s="24">
        <v>21.762910257757106</v>
      </c>
      <c r="AA21" s="24">
        <v>21.348435090763552</v>
      </c>
      <c r="AB21" s="24">
        <v>20.900801910410511</v>
      </c>
      <c r="AC21" s="24">
        <v>20.417358075629227</v>
      </c>
      <c r="AD21" s="24">
        <v>19.89523873406544</v>
      </c>
      <c r="AE21" s="24">
        <v>19.331349845176554</v>
      </c>
      <c r="AN21" s="31" t="s">
        <v>68</v>
      </c>
      <c r="AO21" s="24">
        <v>21.762910257757106</v>
      </c>
      <c r="AP21" s="24">
        <v>21.348435090763552</v>
      </c>
      <c r="AQ21" s="24">
        <v>20.900801910410511</v>
      </c>
      <c r="AR21" s="24">
        <v>20.417358075629227</v>
      </c>
      <c r="AS21" s="24">
        <v>19.89523873406544</v>
      </c>
      <c r="AT21" s="32">
        <v>19.331349845176554</v>
      </c>
    </row>
    <row r="22" spans="1:46" x14ac:dyDescent="0.2">
      <c r="A22" t="s">
        <v>45</v>
      </c>
      <c r="B22" t="s">
        <v>22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I22" s="37"/>
      <c r="J22" s="37"/>
      <c r="L22" t="s">
        <v>54</v>
      </c>
      <c r="M22" t="s">
        <v>53</v>
      </c>
      <c r="N22" t="s">
        <v>55</v>
      </c>
      <c r="R22">
        <v>0.9</v>
      </c>
      <c r="S22">
        <v>21.762910257757106</v>
      </c>
      <c r="T22">
        <v>21.230013614479681</v>
      </c>
      <c r="U22">
        <v>20.654485239740058</v>
      </c>
      <c r="V22">
        <v>20.032914595021264</v>
      </c>
      <c r="W22">
        <v>19.361618298724967</v>
      </c>
      <c r="X22">
        <v>18.636618298724969</v>
      </c>
      <c r="Y22" s="26" t="s">
        <v>69</v>
      </c>
      <c r="Z22" s="24">
        <v>21.762910257757106</v>
      </c>
      <c r="AA22" s="24">
        <v>21.230013614479681</v>
      </c>
      <c r="AB22" s="24">
        <v>20.654485239740058</v>
      </c>
      <c r="AC22" s="24">
        <v>20.032914595021264</v>
      </c>
      <c r="AD22" s="24">
        <v>19.361618298724967</v>
      </c>
      <c r="AE22" s="27">
        <v>18.636618298724969</v>
      </c>
      <c r="AN22" s="33" t="s">
        <v>69</v>
      </c>
      <c r="AO22" s="34">
        <v>21.762910257757106</v>
      </c>
      <c r="AP22" s="34">
        <v>21.230013614479681</v>
      </c>
      <c r="AQ22" s="34">
        <v>20.654485239740058</v>
      </c>
      <c r="AR22" s="34">
        <v>20.032914595021264</v>
      </c>
      <c r="AS22" s="34">
        <v>19.361618298724967</v>
      </c>
      <c r="AT22" s="35">
        <v>18.636618298724969</v>
      </c>
    </row>
    <row r="23" spans="1:46" x14ac:dyDescent="0.2">
      <c r="A23" t="s">
        <v>41</v>
      </c>
      <c r="B23" t="s">
        <v>6</v>
      </c>
      <c r="C23" s="14">
        <f>G12</f>
        <v>37.5</v>
      </c>
      <c r="D23" s="14">
        <f>G12</f>
        <v>37.5</v>
      </c>
      <c r="E23" s="14">
        <f>G12</f>
        <v>37.5</v>
      </c>
      <c r="F23" s="14">
        <f>G12</f>
        <v>37.5</v>
      </c>
      <c r="G23" s="14">
        <f>G12</f>
        <v>37.5</v>
      </c>
      <c r="I23" s="37"/>
      <c r="J23" s="37"/>
      <c r="L23" t="s">
        <v>61</v>
      </c>
      <c r="M23" s="24">
        <v>21.762910257757106</v>
      </c>
      <c r="N23">
        <f>O23-M23</f>
        <v>0</v>
      </c>
      <c r="O23">
        <v>21.762910257757106</v>
      </c>
    </row>
    <row r="24" spans="1:46" x14ac:dyDescent="0.2">
      <c r="A24" t="s">
        <v>42</v>
      </c>
      <c r="B24" t="s">
        <v>12</v>
      </c>
      <c r="C24" s="15">
        <f>C21*(1+C22)*C23/100000000</f>
        <v>5.625</v>
      </c>
      <c r="D24" s="15">
        <f>D21*(1+D22)*D23/100000000</f>
        <v>5.7937500000000002</v>
      </c>
      <c r="E24" s="15">
        <f t="shared" ref="D24:G24" si="3">E21*(1+E22)*E23/100000000</f>
        <v>5.9675624999999997</v>
      </c>
      <c r="F24" s="15">
        <f t="shared" si="3"/>
        <v>6.1465893749999996</v>
      </c>
      <c r="G24" s="15">
        <f t="shared" si="3"/>
        <v>6.3309870562500015</v>
      </c>
      <c r="I24" s="37"/>
      <c r="J24" s="37"/>
      <c r="L24" t="s">
        <v>56</v>
      </c>
      <c r="M24" s="24">
        <v>20.554576924423777</v>
      </c>
      <c r="N24" s="23">
        <f>O24-M24</f>
        <v>1.2083333333333286</v>
      </c>
      <c r="O24">
        <v>21.762910257757106</v>
      </c>
    </row>
    <row r="25" spans="1:46" x14ac:dyDescent="0.2">
      <c r="A25" t="s">
        <v>23</v>
      </c>
      <c r="B25" t="s">
        <v>12</v>
      </c>
      <c r="C25" s="15">
        <f>SUM(C20,C24)</f>
        <v>10.875</v>
      </c>
      <c r="D25" s="15">
        <f>SUM(D20,D24)</f>
        <v>11.20125</v>
      </c>
      <c r="E25" s="15">
        <f>SUM(E20,E24)</f>
        <v>11.5372875</v>
      </c>
      <c r="F25" s="15">
        <f>SUM(F20,F24)</f>
        <v>11.883406125</v>
      </c>
      <c r="G25" s="15">
        <f>SUM(G20,G24)</f>
        <v>12.239908308750001</v>
      </c>
      <c r="L25" t="s">
        <v>57</v>
      </c>
      <c r="M25" s="24">
        <v>20.644083097263284</v>
      </c>
      <c r="N25" s="23">
        <f t="shared" ref="N25:N28" si="4">O25-M25</f>
        <v>1.1188271604938222</v>
      </c>
      <c r="O25">
        <v>21.762910257757106</v>
      </c>
    </row>
    <row r="26" spans="1:46" x14ac:dyDescent="0.2">
      <c r="A26" t="s">
        <v>24</v>
      </c>
      <c r="B26" t="s">
        <v>12</v>
      </c>
      <c r="C26" s="16">
        <f>C25*$B$6</f>
        <v>10.657500000000001</v>
      </c>
      <c r="D26" s="16">
        <f>D25*$B$6</f>
        <v>10.977224999999999</v>
      </c>
      <c r="E26" s="16">
        <f>E25*$B$6</f>
        <v>11.306541749999999</v>
      </c>
      <c r="F26" s="16">
        <f>F25*$B$6</f>
        <v>11.6457380025</v>
      </c>
      <c r="G26" s="16">
        <f>G25*$B$6</f>
        <v>11.995110142575001</v>
      </c>
      <c r="L26" t="s">
        <v>58</v>
      </c>
      <c r="M26" s="24">
        <v>20.726959183225787</v>
      </c>
      <c r="N26" s="23">
        <f t="shared" si="4"/>
        <v>1.0359510745313187</v>
      </c>
      <c r="O26">
        <v>21.762910257757106</v>
      </c>
    </row>
    <row r="27" spans="1:46" x14ac:dyDescent="0.2">
      <c r="A27" t="s">
        <v>11</v>
      </c>
      <c r="B27" t="s">
        <v>12</v>
      </c>
      <c r="C27" s="15">
        <f>$B$8</f>
        <v>4</v>
      </c>
      <c r="D27" s="15">
        <f>$B$8</f>
        <v>4</v>
      </c>
      <c r="E27" s="15">
        <f>$B$8</f>
        <v>4</v>
      </c>
      <c r="F27" s="15">
        <f>$B$8</f>
        <v>4</v>
      </c>
      <c r="G27" s="15">
        <f>$B$8</f>
        <v>4</v>
      </c>
      <c r="L27" t="s">
        <v>59</v>
      </c>
      <c r="M27" s="24">
        <v>20.803696299857734</v>
      </c>
      <c r="N27" s="23">
        <f t="shared" si="4"/>
        <v>0.95921395789937236</v>
      </c>
      <c r="O27">
        <v>21.762910257757106</v>
      </c>
    </row>
    <row r="28" spans="1:46" x14ac:dyDescent="0.2">
      <c r="A28" t="s">
        <v>25</v>
      </c>
      <c r="B28" t="s">
        <v>12</v>
      </c>
      <c r="C28" s="17">
        <f>IF(M19=5,L19,0)</f>
        <v>0</v>
      </c>
      <c r="D28" s="17">
        <f>IF(M19&gt;=4,L19,0)</f>
        <v>0</v>
      </c>
      <c r="E28" s="17">
        <f>IF(M19&gt;=3,L19,0)</f>
        <v>0</v>
      </c>
      <c r="F28" s="17">
        <f>IF(M19&gt;=2,L19,0)</f>
        <v>0</v>
      </c>
      <c r="G28" s="17">
        <f>IF(M19&gt;=1,L19,0)</f>
        <v>0</v>
      </c>
      <c r="L28" t="s">
        <v>60</v>
      </c>
      <c r="M28" s="24">
        <v>20.874749185628062</v>
      </c>
      <c r="N28" s="23">
        <f t="shared" si="4"/>
        <v>0.88816107212904427</v>
      </c>
      <c r="O28">
        <v>21.762910257757106</v>
      </c>
    </row>
    <row r="29" spans="1:46" x14ac:dyDescent="0.2">
      <c r="A29" t="s">
        <v>26</v>
      </c>
      <c r="B29" t="s">
        <v>12</v>
      </c>
      <c r="C29" s="15">
        <f>$B$9</f>
        <v>1</v>
      </c>
      <c r="D29" s="15">
        <f>$B$9</f>
        <v>1</v>
      </c>
      <c r="E29" s="15">
        <f>$B$9</f>
        <v>1</v>
      </c>
      <c r="F29" s="15">
        <f>$B$9</f>
        <v>1</v>
      </c>
      <c r="G29" s="15">
        <f>$B$9</f>
        <v>1</v>
      </c>
    </row>
    <row r="30" spans="1:46" x14ac:dyDescent="0.2">
      <c r="A30" t="s">
        <v>27</v>
      </c>
      <c r="B30" t="s">
        <v>12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</row>
    <row r="31" spans="1:46" x14ac:dyDescent="0.2">
      <c r="A31" t="s">
        <v>28</v>
      </c>
      <c r="B31" t="s">
        <v>12</v>
      </c>
      <c r="C31" s="16">
        <f>C26-C27-C28-C29-C30</f>
        <v>5.6575000000000006</v>
      </c>
      <c r="D31" s="16">
        <f>D26-D27-D28-D29-D30</f>
        <v>5.9772249999999989</v>
      </c>
      <c r="E31" s="16">
        <f>E26-E27-E28-E29-E30</f>
        <v>6.3065417499999992</v>
      </c>
      <c r="F31" s="16">
        <f>F26-F27-F28-F29-F30</f>
        <v>6.6457380024999999</v>
      </c>
      <c r="G31" s="16">
        <f>G26-G27-G28-G29-G30</f>
        <v>6.9951101425750011</v>
      </c>
    </row>
    <row r="32" spans="1:46" x14ac:dyDescent="0.2">
      <c r="A32" t="s">
        <v>29</v>
      </c>
      <c r="B32" t="s">
        <v>12</v>
      </c>
      <c r="C32" s="15">
        <f>MAX(C31,0)*$B$10</f>
        <v>0.7354750000000001</v>
      </c>
      <c r="D32" s="15">
        <f>MAX(D31,0)*$B$10</f>
        <v>0.77703924999999985</v>
      </c>
      <c r="E32" s="15">
        <f>MAX(E31,0)*$B$10</f>
        <v>0.81985042749999992</v>
      </c>
      <c r="F32" s="15">
        <f>MAX(F31,0)*$B$10</f>
        <v>0.86394594032500005</v>
      </c>
      <c r="G32" s="15">
        <f>MAX(G31,0)*$B$10</f>
        <v>0.90936431853475019</v>
      </c>
    </row>
    <row r="33" spans="1:7" x14ac:dyDescent="0.2">
      <c r="A33" t="s">
        <v>30</v>
      </c>
      <c r="B33" t="s">
        <v>12</v>
      </c>
      <c r="C33" s="18">
        <f>C31-C32</f>
        <v>4.9220250000000005</v>
      </c>
      <c r="D33" s="18">
        <f>D31-D32</f>
        <v>5.2001857499999993</v>
      </c>
      <c r="E33" s="18">
        <f>E31-E32</f>
        <v>5.4866913224999996</v>
      </c>
      <c r="F33" s="18">
        <f>F31-F32</f>
        <v>5.7817920621749996</v>
      </c>
      <c r="G33" s="18">
        <f>G31-G32</f>
        <v>6.0857458240402504</v>
      </c>
    </row>
    <row r="34" spans="1:7" x14ac:dyDescent="0.2">
      <c r="A34" t="s">
        <v>31</v>
      </c>
      <c r="B34" t="s">
        <v>8</v>
      </c>
      <c r="C34" s="19">
        <f>1/(1+$B$11)^(C16-$C$16+1)</f>
        <v>0.92592592592592582</v>
      </c>
      <c r="D34" s="19">
        <f>1/(1+$B$11)^(D16-$C$16+1)</f>
        <v>0.85733882030178321</v>
      </c>
      <c r="E34" s="19">
        <f>1/(1+$B$11)^(E16-$C$16+1)</f>
        <v>0.79383224102016958</v>
      </c>
      <c r="F34" s="19">
        <f>1/(1+$B$11)^(F16-$C$16+1)</f>
        <v>0.73502985279645328</v>
      </c>
      <c r="G34" s="19">
        <f>1/(1+$B$11)^(G16-$C$16+1)</f>
        <v>0.68058319703375303</v>
      </c>
    </row>
    <row r="35" spans="1:7" x14ac:dyDescent="0.2">
      <c r="A35" t="s">
        <v>32</v>
      </c>
      <c r="B35" t="s">
        <v>12</v>
      </c>
      <c r="C35" s="20">
        <f>C33*C34</f>
        <v>4.5574305555555554</v>
      </c>
      <c r="D35" s="20">
        <f>D33*D34</f>
        <v>4.458321116255143</v>
      </c>
      <c r="E35" s="20">
        <f>E33*E34</f>
        <v>4.3555124683260926</v>
      </c>
      <c r="F35" s="20">
        <f>F33*F34</f>
        <v>4.2497897683601922</v>
      </c>
      <c r="G35" s="20">
        <f>G33*G34</f>
        <v>4.1418563492601255</v>
      </c>
    </row>
    <row r="37" spans="1:7" ht="19" x14ac:dyDescent="0.25">
      <c r="A37" s="41" t="s">
        <v>33</v>
      </c>
      <c r="B37" s="37"/>
      <c r="C37" s="22">
        <f>SUM(C35:G35)</f>
        <v>21.762910257757106</v>
      </c>
      <c r="D37" s="37"/>
      <c r="E37" s="37"/>
      <c r="F37" s="37"/>
      <c r="G37" s="37"/>
    </row>
    <row r="40" spans="1:7" x14ac:dyDescent="0.2">
      <c r="A40" s="41" t="s">
        <v>34</v>
      </c>
      <c r="B40" s="37"/>
      <c r="C40" s="37"/>
      <c r="D40" s="37"/>
      <c r="E40" s="37"/>
      <c r="F40" s="37"/>
      <c r="G40" s="37"/>
    </row>
    <row r="42" spans="1:7" ht="30" customHeight="1" x14ac:dyDescent="0.2">
      <c r="A42" s="38" t="s">
        <v>35</v>
      </c>
      <c r="B42" s="39"/>
      <c r="C42" s="39"/>
      <c r="D42" s="39"/>
      <c r="E42" s="39"/>
      <c r="F42" s="39"/>
      <c r="G42" s="39"/>
    </row>
    <row r="43" spans="1:7" x14ac:dyDescent="0.2">
      <c r="A43" s="39"/>
      <c r="B43" s="39"/>
      <c r="C43" s="39"/>
      <c r="D43" s="39"/>
      <c r="E43" s="39"/>
      <c r="F43" s="39"/>
      <c r="G43" s="39"/>
    </row>
    <row r="44" spans="1:7" x14ac:dyDescent="0.2">
      <c r="A44" s="39"/>
      <c r="B44" s="39"/>
      <c r="C44" s="39"/>
      <c r="D44" s="39"/>
      <c r="E44" s="39"/>
      <c r="F44" s="39"/>
      <c r="G44" s="39"/>
    </row>
    <row r="45" spans="1:7" x14ac:dyDescent="0.2">
      <c r="A45" s="39"/>
      <c r="B45" s="39"/>
      <c r="C45" s="39"/>
      <c r="D45" s="39"/>
      <c r="E45" s="39"/>
      <c r="F45" s="39"/>
      <c r="G45" s="39"/>
    </row>
    <row r="46" spans="1:7" x14ac:dyDescent="0.2">
      <c r="A46" s="39"/>
      <c r="B46" s="39"/>
      <c r="C46" s="39"/>
      <c r="D46" s="39"/>
      <c r="E46" s="39"/>
      <c r="F46" s="39"/>
      <c r="G46" s="39"/>
    </row>
    <row r="47" spans="1:7" x14ac:dyDescent="0.2">
      <c r="A47" s="39"/>
      <c r="B47" s="39"/>
      <c r="C47" s="39"/>
      <c r="D47" s="39"/>
      <c r="E47" s="39"/>
      <c r="F47" s="39"/>
      <c r="G47" s="39"/>
    </row>
    <row r="48" spans="1:7" x14ac:dyDescent="0.2">
      <c r="A48" s="39"/>
      <c r="B48" s="39"/>
      <c r="C48" s="39"/>
      <c r="D48" s="39"/>
      <c r="E48" s="39"/>
      <c r="F48" s="39"/>
      <c r="G48" s="39"/>
    </row>
    <row r="50" spans="1:7" ht="30" customHeight="1" x14ac:dyDescent="0.2">
      <c r="A50" s="38" t="s">
        <v>36</v>
      </c>
      <c r="B50" s="39"/>
      <c r="C50" s="39"/>
      <c r="D50" s="39"/>
      <c r="E50" s="39"/>
      <c r="F50" s="39"/>
      <c r="G50" s="39"/>
    </row>
    <row r="51" spans="1:7" x14ac:dyDescent="0.2">
      <c r="A51" s="39"/>
      <c r="B51" s="39"/>
      <c r="C51" s="39"/>
      <c r="D51" s="39"/>
      <c r="E51" s="39"/>
      <c r="F51" s="39"/>
      <c r="G51" s="39"/>
    </row>
    <row r="52" spans="1:7" x14ac:dyDescent="0.2">
      <c r="A52" s="39"/>
      <c r="B52" s="39"/>
      <c r="C52" s="39"/>
      <c r="D52" s="39"/>
      <c r="E52" s="39"/>
      <c r="F52" s="39"/>
      <c r="G52" s="39"/>
    </row>
    <row r="53" spans="1:7" x14ac:dyDescent="0.2">
      <c r="A53" s="39"/>
      <c r="B53" s="39"/>
      <c r="C53" s="39"/>
      <c r="D53" s="39"/>
      <c r="E53" s="39"/>
      <c r="F53" s="39"/>
      <c r="G53" s="39"/>
    </row>
    <row r="54" spans="1:7" x14ac:dyDescent="0.2">
      <c r="A54" s="39"/>
      <c r="B54" s="39"/>
      <c r="C54" s="39"/>
      <c r="D54" s="39"/>
      <c r="E54" s="39"/>
      <c r="F54" s="39"/>
      <c r="G54" s="39"/>
    </row>
    <row r="55" spans="1:7" x14ac:dyDescent="0.2">
      <c r="A55" s="39"/>
      <c r="B55" s="39"/>
      <c r="C55" s="39"/>
      <c r="D55" s="39"/>
      <c r="E55" s="39"/>
      <c r="F55" s="39"/>
      <c r="G55" s="39"/>
    </row>
    <row r="56" spans="1:7" x14ac:dyDescent="0.2">
      <c r="A56" s="39"/>
      <c r="B56" s="39"/>
      <c r="C56" s="39"/>
      <c r="D56" s="39"/>
      <c r="E56" s="39"/>
      <c r="F56" s="39"/>
      <c r="G56" s="39"/>
    </row>
    <row r="58" spans="1:7" ht="30" customHeight="1" x14ac:dyDescent="0.2">
      <c r="A58" s="38" t="s">
        <v>37</v>
      </c>
      <c r="B58" s="39"/>
      <c r="C58" s="39"/>
      <c r="D58" s="39"/>
      <c r="E58" s="39"/>
      <c r="F58" s="39"/>
      <c r="G58" s="39"/>
    </row>
    <row r="59" spans="1:7" x14ac:dyDescent="0.2">
      <c r="A59" s="39"/>
      <c r="B59" s="39"/>
      <c r="C59" s="39"/>
      <c r="D59" s="39"/>
      <c r="E59" s="39"/>
      <c r="F59" s="39"/>
      <c r="G59" s="39"/>
    </row>
    <row r="60" spans="1:7" x14ac:dyDescent="0.2">
      <c r="A60" s="39"/>
      <c r="B60" s="39"/>
      <c r="C60" s="39"/>
      <c r="D60" s="39"/>
      <c r="E60" s="39"/>
      <c r="F60" s="39"/>
      <c r="G60" s="39"/>
    </row>
    <row r="61" spans="1:7" x14ac:dyDescent="0.2">
      <c r="A61" s="39"/>
      <c r="B61" s="39"/>
      <c r="C61" s="39"/>
      <c r="D61" s="39"/>
      <c r="E61" s="39"/>
      <c r="F61" s="39"/>
      <c r="G61" s="39"/>
    </row>
    <row r="62" spans="1:7" x14ac:dyDescent="0.2">
      <c r="A62" s="39"/>
      <c r="B62" s="39"/>
      <c r="C62" s="39"/>
      <c r="D62" s="39"/>
      <c r="E62" s="39"/>
      <c r="F62" s="39"/>
      <c r="G62" s="39"/>
    </row>
    <row r="63" spans="1:7" x14ac:dyDescent="0.2">
      <c r="A63" s="39"/>
      <c r="B63" s="39"/>
      <c r="C63" s="39"/>
      <c r="D63" s="39"/>
      <c r="E63" s="39"/>
      <c r="F63" s="39"/>
      <c r="G63" s="39"/>
    </row>
    <row r="64" spans="1:7" x14ac:dyDescent="0.2">
      <c r="A64" s="39"/>
      <c r="B64" s="39"/>
      <c r="C64" s="39"/>
      <c r="D64" s="39"/>
      <c r="E64" s="39"/>
      <c r="F64" s="39"/>
      <c r="G64" s="39"/>
    </row>
  </sheetData>
  <mergeCells count="12">
    <mergeCell ref="A1:J1"/>
    <mergeCell ref="A58:G64"/>
    <mergeCell ref="A14:J14"/>
    <mergeCell ref="A40:G40"/>
    <mergeCell ref="I15:J24"/>
    <mergeCell ref="A3:D3"/>
    <mergeCell ref="A37:B37"/>
    <mergeCell ref="A42:G48"/>
    <mergeCell ref="A15:G15"/>
    <mergeCell ref="D37:G37"/>
    <mergeCell ref="A50:G56"/>
    <mergeCell ref="F3:H3"/>
  </mergeCells>
  <conditionalFormatting sqref="Z18:AE22">
    <cfRule type="colorScale" priority="3">
      <colorScale>
        <cfvo type="min"/>
        <cfvo type="max"/>
        <color rgb="FF0F253F"/>
        <color theme="0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AO18:AT22">
    <cfRule type="colorScale" priority="1">
      <colorScale>
        <cfvo type="min"/>
        <cfvo type="max"/>
        <color rgb="FF0F253F"/>
        <color theme="0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EBAB-4B66-404E-BAEA-64466AE39E74}">
  <dimension ref="A1:AT129"/>
  <sheetViews>
    <sheetView showGridLines="0" zoomScale="141" workbookViewId="0">
      <pane xSplit="2" ySplit="21" topLeftCell="C27" activePane="bottomRight" state="frozen"/>
      <selection pane="topRight"/>
      <selection pane="bottomLeft"/>
      <selection pane="bottomRight" activeCell="D28" sqref="D28"/>
    </sheetView>
  </sheetViews>
  <sheetFormatPr baseColWidth="10" defaultColWidth="8.83203125" defaultRowHeight="15" x14ac:dyDescent="0.2"/>
  <cols>
    <col min="1" max="1" width="25" customWidth="1"/>
    <col min="2" max="2" width="12" customWidth="1"/>
    <col min="3" max="7" width="18.6640625" customWidth="1"/>
    <col min="8" max="9" width="14" customWidth="1"/>
    <col min="10" max="10" width="16" customWidth="1"/>
    <col min="26" max="26" width="8.83203125" customWidth="1"/>
    <col min="40" max="40" width="12.33203125" customWidth="1"/>
    <col min="41" max="46" width="10.1640625" customWidth="1"/>
  </cols>
  <sheetData>
    <row r="1" spans="1:29" ht="17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29" x14ac:dyDescent="0.2">
      <c r="N2" s="1" t="s">
        <v>78</v>
      </c>
      <c r="W2" s="1" t="s">
        <v>79</v>
      </c>
    </row>
    <row r="3" spans="1:29" x14ac:dyDescent="0.2">
      <c r="A3" s="41" t="s">
        <v>1</v>
      </c>
      <c r="B3" s="37"/>
      <c r="C3" s="37"/>
      <c r="D3" s="37"/>
      <c r="F3" s="43" t="s">
        <v>2</v>
      </c>
      <c r="G3" s="43"/>
      <c r="H3" s="43"/>
      <c r="I3" s="21"/>
      <c r="J3" s="21"/>
      <c r="L3" s="25">
        <f>SUM(C32:G32)</f>
        <v>56.582114895074994</v>
      </c>
      <c r="N3" s="51">
        <v>-0.15</v>
      </c>
      <c r="O3" s="51">
        <v>-0.1</v>
      </c>
      <c r="P3" s="51">
        <v>-0.05</v>
      </c>
      <c r="Q3" s="51">
        <v>0</v>
      </c>
      <c r="R3" s="51">
        <v>0.05</v>
      </c>
      <c r="S3" s="51">
        <v>0.1</v>
      </c>
      <c r="T3" s="51">
        <v>0.15</v>
      </c>
      <c r="W3" s="51">
        <v>-0.15</v>
      </c>
      <c r="X3" s="51">
        <v>-0.1</v>
      </c>
      <c r="Y3" s="51">
        <v>-0.05</v>
      </c>
      <c r="Z3" s="51">
        <v>0</v>
      </c>
      <c r="AA3" s="51">
        <v>0.05</v>
      </c>
      <c r="AB3" s="51">
        <v>0.1</v>
      </c>
      <c r="AC3" s="51">
        <v>0.15</v>
      </c>
    </row>
    <row r="4" spans="1:29" x14ac:dyDescent="0.2">
      <c r="A4" s="1" t="s">
        <v>3</v>
      </c>
      <c r="B4" s="2">
        <f>SUM(G12:G13)</f>
        <v>50000000</v>
      </c>
      <c r="C4" s="3" t="s">
        <v>4</v>
      </c>
      <c r="F4" s="1" t="s">
        <v>5</v>
      </c>
      <c r="G4" s="47">
        <v>15</v>
      </c>
      <c r="H4" s="3" t="s">
        <v>6</v>
      </c>
      <c r="M4" s="49">
        <f>L3</f>
        <v>56.582114895074994</v>
      </c>
      <c r="N4" s="23">
        <v>0.42499999999999999</v>
      </c>
      <c r="O4" s="23">
        <v>0.45</v>
      </c>
      <c r="P4" s="23">
        <v>0.47499999999999998</v>
      </c>
      <c r="Q4" s="23">
        <v>0.5</v>
      </c>
      <c r="R4" s="23">
        <v>0.52500000000000002</v>
      </c>
      <c r="S4" s="23">
        <v>0.55000000000000004</v>
      </c>
      <c r="T4" s="23">
        <v>0.57499999999999996</v>
      </c>
      <c r="V4" s="49">
        <f>SUM(C32:G32)</f>
        <v>56.582114895074994</v>
      </c>
      <c r="W4" s="23">
        <v>0.17</v>
      </c>
      <c r="X4" s="23">
        <v>0.18000000000000002</v>
      </c>
      <c r="Y4" s="23">
        <v>0.19</v>
      </c>
      <c r="Z4" s="23">
        <v>0.2</v>
      </c>
      <c r="AA4" s="23">
        <v>0.21000000000000002</v>
      </c>
      <c r="AB4" s="23">
        <v>0.22000000000000003</v>
      </c>
      <c r="AC4" s="23">
        <v>0.22999999999999998</v>
      </c>
    </row>
    <row r="5" spans="1:29" x14ac:dyDescent="0.2">
      <c r="A5" s="1" t="s">
        <v>7</v>
      </c>
      <c r="B5" s="5">
        <f>G18</f>
        <v>21.75</v>
      </c>
      <c r="C5" s="3" t="s">
        <v>6</v>
      </c>
      <c r="F5" s="1" t="s">
        <v>80</v>
      </c>
      <c r="G5" s="4">
        <v>15</v>
      </c>
      <c r="H5" s="3" t="s">
        <v>6</v>
      </c>
      <c r="I5" s="48"/>
      <c r="L5" s="51">
        <v>-0.15</v>
      </c>
      <c r="M5" s="24">
        <v>12.75</v>
      </c>
      <c r="N5" s="24">
        <f t="dataTable" ref="N5:T11" dt2D="1" dtr="1" r1="G10" r2="G5"/>
        <v>50.321255104249701</v>
      </c>
      <c r="O5" s="24">
        <v>50.408323272428753</v>
      </c>
      <c r="P5" s="24">
        <v>50.495391440607818</v>
      </c>
      <c r="Q5" s="24">
        <v>50.582459608786877</v>
      </c>
      <c r="R5" s="24">
        <v>50.669527776965936</v>
      </c>
      <c r="S5" s="24">
        <v>50.756595945144994</v>
      </c>
      <c r="T5" s="24">
        <v>50.843664113324053</v>
      </c>
      <c r="V5" s="24">
        <v>12.75</v>
      </c>
      <c r="W5" s="24">
        <f t="dataTable" ref="W5:AC11" dt2D="1" dtr="1" r1="G11" r2="G5" ca="1"/>
        <v>50.470514821128084</v>
      </c>
      <c r="X5" s="24">
        <v>50.507829750347682</v>
      </c>
      <c r="Y5" s="24">
        <v>50.545144679567279</v>
      </c>
      <c r="Z5" s="24">
        <v>50.582459608786877</v>
      </c>
      <c r="AA5" s="24">
        <v>50.619774538006482</v>
      </c>
      <c r="AB5" s="24">
        <v>50.657089467226065</v>
      </c>
      <c r="AC5" s="24">
        <v>50.694404396445663</v>
      </c>
    </row>
    <row r="6" spans="1:29" x14ac:dyDescent="0.2">
      <c r="A6" s="1" t="s">
        <v>9</v>
      </c>
      <c r="B6" s="7">
        <v>0.98</v>
      </c>
      <c r="C6" s="3"/>
      <c r="F6" s="1" t="s">
        <v>46</v>
      </c>
      <c r="G6" s="6">
        <v>1</v>
      </c>
      <c r="H6" s="3" t="s">
        <v>8</v>
      </c>
      <c r="L6" s="51">
        <v>-0.1</v>
      </c>
      <c r="M6" s="24">
        <v>13.5</v>
      </c>
      <c r="N6" s="24">
        <v>52.495520424463457</v>
      </c>
      <c r="O6" s="24">
        <v>52.556980307883975</v>
      </c>
      <c r="P6" s="24">
        <v>52.618440191304494</v>
      </c>
      <c r="Q6" s="24">
        <v>52.679900074724998</v>
      </c>
      <c r="R6" s="24">
        <v>52.741359958145509</v>
      </c>
      <c r="S6" s="24">
        <v>52.80281984156602</v>
      </c>
      <c r="T6" s="24">
        <v>52.864279724986538</v>
      </c>
      <c r="V6" s="24">
        <v>13.5</v>
      </c>
      <c r="W6" s="24">
        <v>52.600880224612915</v>
      </c>
      <c r="X6" s="24">
        <v>52.627220174650276</v>
      </c>
      <c r="Y6" s="24">
        <v>52.65356012468763</v>
      </c>
      <c r="Z6" s="24">
        <v>52.679900074724998</v>
      </c>
      <c r="AA6" s="24">
        <v>52.706240024762351</v>
      </c>
      <c r="AB6" s="24">
        <v>52.732579974799719</v>
      </c>
      <c r="AC6" s="24">
        <v>52.758919924837073</v>
      </c>
    </row>
    <row r="7" spans="1:29" x14ac:dyDescent="0.2">
      <c r="A7" s="1" t="s">
        <v>10</v>
      </c>
      <c r="B7" s="7">
        <v>0.03</v>
      </c>
      <c r="C7" s="3"/>
      <c r="F7" s="1" t="s">
        <v>43</v>
      </c>
      <c r="G7" s="6">
        <v>2.5</v>
      </c>
      <c r="H7" s="3" t="s">
        <v>8</v>
      </c>
      <c r="L7" s="51">
        <v>-0.05</v>
      </c>
      <c r="M7" s="24">
        <v>14.25</v>
      </c>
      <c r="N7" s="24">
        <v>54.5824736880719</v>
      </c>
      <c r="O7" s="24">
        <v>54.614910848766058</v>
      </c>
      <c r="P7" s="24">
        <v>54.64734800946021</v>
      </c>
      <c r="Q7" s="24">
        <v>54.679785170154375</v>
      </c>
      <c r="R7" s="24">
        <v>54.71222233084854</v>
      </c>
      <c r="S7" s="24">
        <v>54.744659491542691</v>
      </c>
      <c r="T7" s="24">
        <v>54.77709665223685</v>
      </c>
      <c r="V7" s="24">
        <v>14.25</v>
      </c>
      <c r="W7" s="24">
        <v>54.638080249261876</v>
      </c>
      <c r="X7" s="24">
        <v>54.65198188955938</v>
      </c>
      <c r="Y7" s="24">
        <v>54.665883529856885</v>
      </c>
      <c r="Z7" s="24">
        <v>54.679785170154375</v>
      </c>
      <c r="AA7" s="24">
        <v>54.693686810451879</v>
      </c>
      <c r="AB7" s="24">
        <v>54.707588450749356</v>
      </c>
      <c r="AC7" s="24">
        <v>54.721490091046874</v>
      </c>
    </row>
    <row r="8" spans="1:29" x14ac:dyDescent="0.2">
      <c r="A8" s="1" t="s">
        <v>11</v>
      </c>
      <c r="B8" s="9">
        <v>4</v>
      </c>
      <c r="C8" s="3" t="s">
        <v>12</v>
      </c>
      <c r="F8" s="1" t="s">
        <v>76</v>
      </c>
      <c r="G8" s="8">
        <v>35000000</v>
      </c>
      <c r="H8" s="3" t="s">
        <v>4</v>
      </c>
      <c r="L8" s="51">
        <v>0</v>
      </c>
      <c r="M8" s="24">
        <v>15</v>
      </c>
      <c r="N8" s="24">
        <v>56.582114895074994</v>
      </c>
      <c r="O8" s="24">
        <v>56.582114895074994</v>
      </c>
      <c r="P8" s="24">
        <v>56.582114895074994</v>
      </c>
      <c r="Q8" s="24">
        <v>56.582114895074994</v>
      </c>
      <c r="R8" s="24">
        <v>56.582114895074994</v>
      </c>
      <c r="S8" s="24">
        <v>56.582114895074994</v>
      </c>
      <c r="T8" s="24">
        <v>56.582114895074994</v>
      </c>
      <c r="V8" s="24">
        <v>15</v>
      </c>
      <c r="W8" s="24">
        <v>56.582114895074994</v>
      </c>
      <c r="X8" s="24">
        <v>56.582114895074994</v>
      </c>
      <c r="Y8" s="24">
        <v>56.582114895074994</v>
      </c>
      <c r="Z8" s="24">
        <v>56.582114895074994</v>
      </c>
      <c r="AA8" s="24">
        <v>56.582114895074994</v>
      </c>
      <c r="AB8" s="24">
        <v>56.582114895074994</v>
      </c>
      <c r="AC8" s="24">
        <v>56.582114895074994</v>
      </c>
    </row>
    <row r="9" spans="1:29" x14ac:dyDescent="0.2">
      <c r="A9" s="1" t="s">
        <v>13</v>
      </c>
      <c r="B9" s="9">
        <v>1</v>
      </c>
      <c r="C9" s="3" t="s">
        <v>12</v>
      </c>
      <c r="F9" s="1" t="s">
        <v>77</v>
      </c>
      <c r="G9" s="8">
        <v>15000000</v>
      </c>
      <c r="H9" s="3" t="s">
        <v>4</v>
      </c>
      <c r="L9" s="51">
        <v>0.05</v>
      </c>
      <c r="M9" s="24">
        <v>15.75</v>
      </c>
      <c r="N9" s="24">
        <v>58.494444045472775</v>
      </c>
      <c r="O9" s="24">
        <v>58.458592446810812</v>
      </c>
      <c r="P9" s="24">
        <v>58.422740848148841</v>
      </c>
      <c r="Q9" s="24">
        <v>58.386889249486885</v>
      </c>
      <c r="R9" s="24">
        <v>58.351037650824914</v>
      </c>
      <c r="S9" s="24">
        <v>58.31518605216295</v>
      </c>
      <c r="T9" s="24">
        <v>58.279334453500972</v>
      </c>
      <c r="V9" s="24">
        <v>15.75</v>
      </c>
      <c r="W9" s="24">
        <v>58.43298416205225</v>
      </c>
      <c r="X9" s="24">
        <v>58.41761919119714</v>
      </c>
      <c r="Y9" s="24">
        <v>58.402254220341995</v>
      </c>
      <c r="Z9" s="24">
        <v>58.386889249486885</v>
      </c>
      <c r="AA9" s="24">
        <v>58.371524278631739</v>
      </c>
      <c r="AB9" s="24">
        <v>58.356159307776615</v>
      </c>
      <c r="AC9" s="24">
        <v>58.340794336921491</v>
      </c>
    </row>
    <row r="10" spans="1:29" x14ac:dyDescent="0.2">
      <c r="A10" s="1" t="s">
        <v>14</v>
      </c>
      <c r="B10" s="7">
        <v>0.13</v>
      </c>
      <c r="C10" s="3"/>
      <c r="F10" s="1" t="s">
        <v>78</v>
      </c>
      <c r="G10" s="6">
        <v>0.5</v>
      </c>
      <c r="H10" s="3" t="s">
        <v>8</v>
      </c>
      <c r="L10" s="51">
        <v>0.1</v>
      </c>
      <c r="M10" s="24">
        <v>16.5</v>
      </c>
      <c r="N10" s="24">
        <v>60.319461139265215</v>
      </c>
      <c r="O10" s="24">
        <v>60.244343503973475</v>
      </c>
      <c r="P10" s="24">
        <v>60.169225868681742</v>
      </c>
      <c r="Q10" s="24">
        <v>60.094108233390003</v>
      </c>
      <c r="R10" s="24">
        <v>60.018990598098263</v>
      </c>
      <c r="S10" s="24">
        <v>59.943872962806523</v>
      </c>
      <c r="T10" s="24">
        <v>59.868755327514791</v>
      </c>
      <c r="V10" s="24">
        <v>16.5</v>
      </c>
      <c r="W10" s="24">
        <v>60.190688050193657</v>
      </c>
      <c r="X10" s="24">
        <v>60.158494777925775</v>
      </c>
      <c r="Y10" s="24">
        <v>60.126301505657878</v>
      </c>
      <c r="Z10" s="24">
        <v>60.094108233390003</v>
      </c>
      <c r="AA10" s="24">
        <v>60.061914961122113</v>
      </c>
      <c r="AB10" s="24">
        <v>60.029721688854217</v>
      </c>
      <c r="AC10" s="24">
        <v>59.997528416586334</v>
      </c>
    </row>
    <row r="11" spans="1:29" x14ac:dyDescent="0.2">
      <c r="A11" s="1" t="s">
        <v>15</v>
      </c>
      <c r="B11" s="7">
        <v>0.08</v>
      </c>
      <c r="C11" s="3"/>
      <c r="F11" s="1" t="s">
        <v>79</v>
      </c>
      <c r="G11" s="6">
        <v>0.2</v>
      </c>
      <c r="H11" s="3" t="s">
        <v>8</v>
      </c>
      <c r="L11" s="51">
        <v>0.15</v>
      </c>
      <c r="M11" s="24">
        <v>17.25</v>
      </c>
      <c r="N11" s="24">
        <v>62.05716617645232</v>
      </c>
      <c r="O11" s="24">
        <v>61.939368066562992</v>
      </c>
      <c r="P11" s="24">
        <v>61.821569956673692</v>
      </c>
      <c r="Q11" s="24">
        <v>61.703771846784377</v>
      </c>
      <c r="R11" s="24">
        <v>61.585973736895056</v>
      </c>
      <c r="S11" s="24">
        <v>61.468175627005749</v>
      </c>
      <c r="T11" s="24">
        <v>61.350377517116428</v>
      </c>
      <c r="V11" s="24">
        <v>17.25</v>
      </c>
      <c r="W11" s="24">
        <v>61.855226559499222</v>
      </c>
      <c r="X11" s="24">
        <v>61.804741655260933</v>
      </c>
      <c r="Y11" s="24">
        <v>61.754256751022652</v>
      </c>
      <c r="Z11" s="24">
        <v>61.703771846784377</v>
      </c>
      <c r="AA11" s="24">
        <v>61.653286942546103</v>
      </c>
      <c r="AB11" s="24">
        <v>61.602802038307821</v>
      </c>
      <c r="AC11" s="24">
        <v>61.552317134069533</v>
      </c>
    </row>
    <row r="12" spans="1:29" x14ac:dyDescent="0.2">
      <c r="A12" s="1" t="s">
        <v>16</v>
      </c>
      <c r="B12" s="6">
        <v>5</v>
      </c>
      <c r="C12" s="3" t="s">
        <v>17</v>
      </c>
      <c r="F12" s="1" t="s">
        <v>81</v>
      </c>
      <c r="G12" s="2">
        <f>MAX(G8*(1+(-(G5-G4))/G4*G10),0)</f>
        <v>35000000</v>
      </c>
      <c r="H12" s="3" t="s">
        <v>4</v>
      </c>
    </row>
    <row r="13" spans="1:29" x14ac:dyDescent="0.2">
      <c r="A13" s="44"/>
      <c r="B13" s="45"/>
      <c r="C13" s="46"/>
      <c r="F13" s="1" t="s">
        <v>82</v>
      </c>
      <c r="G13" s="2">
        <f>MAX(G9*(1+(G4-G5)/G4*G11),0)</f>
        <v>15000000</v>
      </c>
      <c r="H13" s="3" t="s">
        <v>4</v>
      </c>
    </row>
    <row r="14" spans="1:29" x14ac:dyDescent="0.2">
      <c r="A14" s="44"/>
      <c r="B14" s="45"/>
      <c r="C14" s="46"/>
      <c r="F14" s="1" t="s">
        <v>47</v>
      </c>
      <c r="G14" s="10">
        <f>G12/SUM(G12:G13)</f>
        <v>0.7</v>
      </c>
      <c r="H14" s="3"/>
    </row>
    <row r="15" spans="1:29" x14ac:dyDescent="0.2">
      <c r="A15" s="44"/>
      <c r="B15" s="45"/>
      <c r="C15" s="46"/>
      <c r="F15" s="1" t="s">
        <v>40</v>
      </c>
      <c r="G15" s="10">
        <f>G13/SUM(G12:G13)</f>
        <v>0.3</v>
      </c>
      <c r="H15" s="3"/>
    </row>
    <row r="16" spans="1:29" x14ac:dyDescent="0.2">
      <c r="A16" s="44"/>
      <c r="B16" s="45"/>
      <c r="C16" s="46"/>
      <c r="F16" s="1" t="s">
        <v>48</v>
      </c>
      <c r="G16" s="5">
        <f>G5*G6</f>
        <v>15</v>
      </c>
      <c r="H16" s="3" t="s">
        <v>6</v>
      </c>
    </row>
    <row r="17" spans="1:46" x14ac:dyDescent="0.2">
      <c r="A17" s="44"/>
      <c r="B17" s="45"/>
      <c r="C17" s="46"/>
      <c r="F17" s="1" t="s">
        <v>41</v>
      </c>
      <c r="G17" s="5">
        <f>G5*G7</f>
        <v>37.5</v>
      </c>
      <c r="H17" s="3" t="s">
        <v>6</v>
      </c>
    </row>
    <row r="18" spans="1:46" x14ac:dyDescent="0.2">
      <c r="A18" s="44"/>
      <c r="B18" s="45"/>
      <c r="C18" s="46"/>
      <c r="F18" s="1" t="s">
        <v>18</v>
      </c>
      <c r="G18" s="5">
        <f>SUMPRODUCT(G12:G13,G16:G17)/SUM(G12:G13)</f>
        <v>21.75</v>
      </c>
      <c r="H18" s="3" t="s">
        <v>6</v>
      </c>
    </row>
    <row r="20" spans="1:46" ht="30" customHeight="1" x14ac:dyDescent="0.2">
      <c r="A20" s="40" t="s">
        <v>52</v>
      </c>
      <c r="B20" s="37"/>
      <c r="C20" s="37"/>
      <c r="D20" s="37"/>
      <c r="E20" s="37"/>
      <c r="F20" s="37"/>
      <c r="G20" s="37"/>
      <c r="H20" s="37"/>
      <c r="I20" s="37"/>
      <c r="J20" s="37"/>
    </row>
    <row r="21" spans="1:46" x14ac:dyDescent="0.2">
      <c r="A21" s="41" t="s">
        <v>19</v>
      </c>
      <c r="B21" s="37"/>
      <c r="C21" s="37"/>
      <c r="D21" s="37"/>
      <c r="E21" s="37"/>
      <c r="F21" s="37"/>
      <c r="G21" s="37"/>
      <c r="I21" s="42"/>
      <c r="J21" s="37"/>
    </row>
    <row r="22" spans="1:46" ht="16" thickBot="1" x14ac:dyDescent="0.25">
      <c r="A22" s="11" t="s">
        <v>20</v>
      </c>
      <c r="B22" s="11" t="s">
        <v>21</v>
      </c>
      <c r="C22" s="11">
        <v>2026</v>
      </c>
      <c r="D22" s="11">
        <f>C22+1</f>
        <v>2027</v>
      </c>
      <c r="E22" s="11">
        <f>D22+1</f>
        <v>2028</v>
      </c>
      <c r="F22" s="11">
        <f>E22+1</f>
        <v>2029</v>
      </c>
      <c r="G22" s="11">
        <f>F22+1</f>
        <v>2030</v>
      </c>
      <c r="I22" s="37"/>
      <c r="J22" s="37"/>
    </row>
    <row r="23" spans="1:46" x14ac:dyDescent="0.2">
      <c r="A23" t="s">
        <v>49</v>
      </c>
      <c r="B23" t="s">
        <v>4</v>
      </c>
      <c r="C23" s="12">
        <f>G12</f>
        <v>35000000</v>
      </c>
      <c r="D23" s="12">
        <f>C23*(1+$B$7)</f>
        <v>36050000</v>
      </c>
      <c r="E23" s="12">
        <f t="shared" ref="E23:G23" si="0">D23*(1+$B$7)</f>
        <v>37131500</v>
      </c>
      <c r="F23" s="12">
        <f>E23*(1+$B$7)</f>
        <v>38245445</v>
      </c>
      <c r="G23" s="12">
        <f t="shared" si="0"/>
        <v>39392808.350000001</v>
      </c>
      <c r="I23" s="37"/>
      <c r="J23" s="37"/>
      <c r="L23" t="s">
        <v>62</v>
      </c>
      <c r="R23" s="25">
        <f>C46</f>
        <v>4.256285537142503</v>
      </c>
      <c r="S23">
        <v>0</v>
      </c>
      <c r="T23">
        <v>1</v>
      </c>
      <c r="U23">
        <v>2</v>
      </c>
      <c r="V23">
        <v>3</v>
      </c>
      <c r="W23">
        <v>4</v>
      </c>
      <c r="X23">
        <v>5</v>
      </c>
      <c r="Z23" s="26" t="s">
        <v>75</v>
      </c>
      <c r="AA23" s="26" t="s">
        <v>70</v>
      </c>
      <c r="AB23" s="26" t="s">
        <v>71</v>
      </c>
      <c r="AC23" s="26" t="s">
        <v>72</v>
      </c>
      <c r="AD23" s="26" t="s">
        <v>73</v>
      </c>
      <c r="AE23" s="26" t="s">
        <v>74</v>
      </c>
      <c r="AN23" s="28"/>
      <c r="AO23" s="29" t="s">
        <v>75</v>
      </c>
      <c r="AP23" s="29" t="s">
        <v>70</v>
      </c>
      <c r="AQ23" s="29" t="s">
        <v>71</v>
      </c>
      <c r="AR23" s="29" t="s">
        <v>72</v>
      </c>
      <c r="AS23" s="29" t="s">
        <v>73</v>
      </c>
      <c r="AT23" s="30" t="s">
        <v>74</v>
      </c>
    </row>
    <row r="24" spans="1:46" x14ac:dyDescent="0.2">
      <c r="A24" t="s">
        <v>50</v>
      </c>
      <c r="B24" t="s">
        <v>22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I24" s="37"/>
      <c r="J24" s="37"/>
      <c r="L24" t="s">
        <v>64</v>
      </c>
      <c r="M24" t="s">
        <v>63</v>
      </c>
      <c r="R24" s="25">
        <v>0.1</v>
      </c>
      <c r="S24">
        <f t="dataTable" ref="S24:X28" dt2D="1" dtr="1" r1="M25" r2="L25" ca="1"/>
        <v>4.256285537142503</v>
      </c>
      <c r="T24">
        <v>4.1970747990005668</v>
      </c>
      <c r="U24">
        <v>4.1331272018072758</v>
      </c>
      <c r="V24">
        <v>4.0640637968385214</v>
      </c>
      <c r="W24">
        <v>3.9894753194722661</v>
      </c>
      <c r="X24">
        <v>3.9089197639167108</v>
      </c>
      <c r="Y24" s="26" t="s">
        <v>65</v>
      </c>
      <c r="Z24" s="24" cm="1">
        <f t="array" ref="Z24:AE28">S24:X28</f>
        <v>4.256285537142503</v>
      </c>
      <c r="AA24" s="24">
        <v>4.1970747990005668</v>
      </c>
      <c r="AB24" s="24">
        <v>4.1331272018072758</v>
      </c>
      <c r="AC24" s="24">
        <v>4.0640637968385214</v>
      </c>
      <c r="AD24" s="24">
        <v>3.9894753194722661</v>
      </c>
      <c r="AE24" s="24">
        <v>3.9089197639167108</v>
      </c>
      <c r="AN24" s="31" t="s">
        <v>65</v>
      </c>
      <c r="AO24" s="24">
        <v>21.762910257757106</v>
      </c>
      <c r="AP24" s="24">
        <v>21.703699519615171</v>
      </c>
      <c r="AQ24" s="24">
        <v>21.63975192242188</v>
      </c>
      <c r="AR24" s="24">
        <v>21.570688517453128</v>
      </c>
      <c r="AS24" s="24">
        <v>21.496100040086873</v>
      </c>
      <c r="AT24" s="32">
        <v>21.415544484531317</v>
      </c>
    </row>
    <row r="25" spans="1:46" x14ac:dyDescent="0.2">
      <c r="A25" t="s">
        <v>48</v>
      </c>
      <c r="B25" t="s">
        <v>6</v>
      </c>
      <c r="C25" s="14">
        <f>G16</f>
        <v>15</v>
      </c>
      <c r="D25" s="14">
        <f>G16</f>
        <v>15</v>
      </c>
      <c r="E25" s="14">
        <f>G16</f>
        <v>15</v>
      </c>
      <c r="F25" s="14">
        <f>G16</f>
        <v>15</v>
      </c>
      <c r="G25" s="14">
        <f>G16</f>
        <v>15</v>
      </c>
      <c r="I25" s="37"/>
      <c r="J25" s="37"/>
      <c r="L25">
        <v>0</v>
      </c>
      <c r="M25">
        <v>0</v>
      </c>
      <c r="R25">
        <v>0.3</v>
      </c>
      <c r="S25">
        <v>4.256285537142503</v>
      </c>
      <c r="T25">
        <v>4.0786533227166935</v>
      </c>
      <c r="U25">
        <v>3.8868105311368204</v>
      </c>
      <c r="V25">
        <v>3.6796203162305554</v>
      </c>
      <c r="W25">
        <v>3.4558548841317895</v>
      </c>
      <c r="X25">
        <v>3.2141882174651233</v>
      </c>
      <c r="Y25" s="26" t="s">
        <v>66</v>
      </c>
      <c r="Z25" s="24">
        <v>4.256285537142503</v>
      </c>
      <c r="AA25" s="24">
        <v>4.0786533227166935</v>
      </c>
      <c r="AB25" s="24">
        <v>3.8868105311368204</v>
      </c>
      <c r="AC25" s="24">
        <v>3.6796203162305554</v>
      </c>
      <c r="AD25" s="24">
        <v>3.4558548841317895</v>
      </c>
      <c r="AE25" s="24">
        <v>3.2141882174651233</v>
      </c>
      <c r="AN25" s="31" t="s">
        <v>66</v>
      </c>
      <c r="AO25" s="24">
        <v>21.762910257757106</v>
      </c>
      <c r="AP25" s="24">
        <v>21.5852780433313</v>
      </c>
      <c r="AQ25" s="24">
        <v>21.393435251751427</v>
      </c>
      <c r="AR25" s="24">
        <v>21.186245036845161</v>
      </c>
      <c r="AS25" s="24">
        <v>20.962479604746395</v>
      </c>
      <c r="AT25" s="32">
        <v>20.720812938079732</v>
      </c>
    </row>
    <row r="26" spans="1:46" x14ac:dyDescent="0.2">
      <c r="A26" t="s">
        <v>51</v>
      </c>
      <c r="B26" t="s">
        <v>12</v>
      </c>
      <c r="C26" s="15">
        <f>C23*(1+C24)*C25/100000000</f>
        <v>5.25</v>
      </c>
      <c r="D26" s="15">
        <f>D23*(1+D24)*D25/100000000</f>
        <v>5.4074999999999998</v>
      </c>
      <c r="E26" s="15">
        <f t="shared" ref="D26:G26" si="1">E23*(1+E24)*E25/100000000</f>
        <v>5.569725</v>
      </c>
      <c r="F26" s="15">
        <f t="shared" si="1"/>
        <v>5.73681675</v>
      </c>
      <c r="G26" s="15">
        <f t="shared" si="1"/>
        <v>5.9089212524999999</v>
      </c>
      <c r="I26" s="37"/>
      <c r="J26" s="37"/>
      <c r="R26">
        <v>0.5</v>
      </c>
      <c r="S26">
        <v>4.256285537142503</v>
      </c>
      <c r="T26">
        <v>3.9602318464328201</v>
      </c>
      <c r="U26">
        <v>3.6404938604663633</v>
      </c>
      <c r="V26">
        <v>3.2951768356225895</v>
      </c>
      <c r="W26">
        <v>2.922234448791313</v>
      </c>
      <c r="X26">
        <v>2.5194566710135353</v>
      </c>
      <c r="Y26" s="26" t="s">
        <v>67</v>
      </c>
      <c r="Z26" s="24">
        <v>4.256285537142503</v>
      </c>
      <c r="AA26" s="24">
        <v>3.9602318464328201</v>
      </c>
      <c r="AB26" s="24">
        <v>3.6404938604663633</v>
      </c>
      <c r="AC26" s="24">
        <v>3.2951768356225895</v>
      </c>
      <c r="AD26" s="24">
        <v>2.922234448791313</v>
      </c>
      <c r="AE26" s="24">
        <v>2.5194566710135353</v>
      </c>
      <c r="AN26" s="31" t="s">
        <v>67</v>
      </c>
      <c r="AO26" s="24">
        <v>21.762910257757106</v>
      </c>
      <c r="AP26" s="24">
        <v>21.466856567047426</v>
      </c>
      <c r="AQ26" s="24">
        <v>21.147118581080971</v>
      </c>
      <c r="AR26" s="24">
        <v>20.801801556237194</v>
      </c>
      <c r="AS26" s="24">
        <v>20.428859169405918</v>
      </c>
      <c r="AT26" s="32">
        <v>20.026081391628143</v>
      </c>
    </row>
    <row r="27" spans="1:46" x14ac:dyDescent="0.2">
      <c r="A27" t="s">
        <v>44</v>
      </c>
      <c r="B27" t="s">
        <v>4</v>
      </c>
      <c r="C27" s="12">
        <f>G13</f>
        <v>15000000</v>
      </c>
      <c r="D27" s="12">
        <f>C27*(1+$B$7)</f>
        <v>15450000</v>
      </c>
      <c r="E27" s="12">
        <f>D27*(1+$B$7)</f>
        <v>15913500</v>
      </c>
      <c r="F27" s="12">
        <f t="shared" ref="E27:G27" si="2">E27*(1+$B$7)</f>
        <v>16390905</v>
      </c>
      <c r="G27" s="12">
        <f t="shared" si="2"/>
        <v>16882632.150000002</v>
      </c>
      <c r="I27" s="37"/>
      <c r="J27" s="37"/>
      <c r="R27">
        <v>0.7</v>
      </c>
      <c r="S27">
        <v>4.256285537142503</v>
      </c>
      <c r="T27">
        <v>3.8418103701489472</v>
      </c>
      <c r="U27">
        <v>3.3941771897959074</v>
      </c>
      <c r="V27">
        <v>2.910733355014623</v>
      </c>
      <c r="W27">
        <v>2.3886140134508369</v>
      </c>
      <c r="X27">
        <v>1.8247251245619482</v>
      </c>
      <c r="Y27" s="26" t="s">
        <v>68</v>
      </c>
      <c r="Z27" s="24">
        <v>4.256285537142503</v>
      </c>
      <c r="AA27" s="24">
        <v>3.8418103701489472</v>
      </c>
      <c r="AB27" s="24">
        <v>3.3941771897959074</v>
      </c>
      <c r="AC27" s="24">
        <v>2.910733355014623</v>
      </c>
      <c r="AD27" s="24">
        <v>2.3886140134508369</v>
      </c>
      <c r="AE27" s="24">
        <v>1.8247251245619482</v>
      </c>
      <c r="AN27" s="31" t="s">
        <v>68</v>
      </c>
      <c r="AO27" s="24">
        <v>21.762910257757106</v>
      </c>
      <c r="AP27" s="24">
        <v>21.348435090763552</v>
      </c>
      <c r="AQ27" s="24">
        <v>20.900801910410511</v>
      </c>
      <c r="AR27" s="24">
        <v>20.417358075629227</v>
      </c>
      <c r="AS27" s="24">
        <v>19.89523873406544</v>
      </c>
      <c r="AT27" s="32">
        <v>19.331349845176554</v>
      </c>
    </row>
    <row r="28" spans="1:46" x14ac:dyDescent="0.2">
      <c r="A28" t="s">
        <v>45</v>
      </c>
      <c r="B28" t="s">
        <v>22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I28" s="37"/>
      <c r="J28" s="37"/>
      <c r="L28" t="s">
        <v>54</v>
      </c>
      <c r="M28" t="s">
        <v>53</v>
      </c>
      <c r="N28" t="s">
        <v>55</v>
      </c>
      <c r="R28">
        <v>0.9</v>
      </c>
      <c r="S28">
        <v>4.256285537142503</v>
      </c>
      <c r="T28">
        <v>3.7233888938650743</v>
      </c>
      <c r="U28">
        <v>3.1478605191254512</v>
      </c>
      <c r="V28">
        <v>2.526289874406658</v>
      </c>
      <c r="W28">
        <v>1.8549935781103615</v>
      </c>
      <c r="X28">
        <v>1.1299935781103612</v>
      </c>
      <c r="Y28" s="26" t="s">
        <v>69</v>
      </c>
      <c r="Z28" s="24">
        <v>4.256285537142503</v>
      </c>
      <c r="AA28" s="24">
        <v>3.7233888938650743</v>
      </c>
      <c r="AB28" s="24">
        <v>3.1478605191254512</v>
      </c>
      <c r="AC28" s="24">
        <v>2.526289874406658</v>
      </c>
      <c r="AD28" s="24">
        <v>1.8549935781103615</v>
      </c>
      <c r="AE28" s="27">
        <v>1.1299935781103612</v>
      </c>
      <c r="AN28" s="33" t="s">
        <v>69</v>
      </c>
      <c r="AO28" s="34">
        <v>21.762910257757106</v>
      </c>
      <c r="AP28" s="34">
        <v>21.230013614479681</v>
      </c>
      <c r="AQ28" s="34">
        <v>20.654485239740058</v>
      </c>
      <c r="AR28" s="34">
        <v>20.032914595021264</v>
      </c>
      <c r="AS28" s="34">
        <v>19.361618298724967</v>
      </c>
      <c r="AT28" s="35">
        <v>18.636618298724969</v>
      </c>
    </row>
    <row r="29" spans="1:46" x14ac:dyDescent="0.2">
      <c r="A29" t="s">
        <v>41</v>
      </c>
      <c r="B29" t="s">
        <v>6</v>
      </c>
      <c r="C29" s="14">
        <f>G17</f>
        <v>37.5</v>
      </c>
      <c r="D29" s="14">
        <f>G17</f>
        <v>37.5</v>
      </c>
      <c r="E29" s="14">
        <f>G17</f>
        <v>37.5</v>
      </c>
      <c r="F29" s="14">
        <f>G17</f>
        <v>37.5</v>
      </c>
      <c r="G29" s="14">
        <f>G17</f>
        <v>37.5</v>
      </c>
      <c r="I29" s="37"/>
      <c r="J29" s="37"/>
      <c r="L29" t="s">
        <v>61</v>
      </c>
      <c r="M29" s="24">
        <v>21.762910257757106</v>
      </c>
      <c r="N29">
        <f>O29-M29</f>
        <v>0</v>
      </c>
      <c r="O29">
        <v>21.762910257757106</v>
      </c>
    </row>
    <row r="30" spans="1:46" x14ac:dyDescent="0.2">
      <c r="A30" t="s">
        <v>42</v>
      </c>
      <c r="B30" t="s">
        <v>12</v>
      </c>
      <c r="C30" s="15">
        <f>C27*(1+C28)*C29/100000000</f>
        <v>5.625</v>
      </c>
      <c r="D30" s="15">
        <f>D27*(1+D28)*D29/100000000</f>
        <v>5.7937500000000002</v>
      </c>
      <c r="E30" s="15">
        <f t="shared" ref="E30:G30" si="3">E27*(1+E28)*E29/100000000</f>
        <v>5.9675624999999997</v>
      </c>
      <c r="F30" s="15">
        <f t="shared" si="3"/>
        <v>6.1465893749999996</v>
      </c>
      <c r="G30" s="15">
        <f t="shared" si="3"/>
        <v>6.3309870562500015</v>
      </c>
      <c r="I30" s="37"/>
      <c r="J30" s="37"/>
      <c r="L30" t="s">
        <v>56</v>
      </c>
      <c r="M30" s="24">
        <v>20.554576924423777</v>
      </c>
      <c r="N30" s="23">
        <f>O30-M30</f>
        <v>1.2083333333333286</v>
      </c>
      <c r="O30">
        <v>21.762910257757106</v>
      </c>
    </row>
    <row r="31" spans="1:46" x14ac:dyDescent="0.2">
      <c r="A31" t="s">
        <v>23</v>
      </c>
      <c r="B31" t="s">
        <v>12</v>
      </c>
      <c r="C31" s="15">
        <f>SUM(C26,C30)</f>
        <v>10.875</v>
      </c>
      <c r="D31" s="15">
        <f>SUM(D26,D30)</f>
        <v>11.20125</v>
      </c>
      <c r="E31" s="15">
        <f>SUM(E26,E30)</f>
        <v>11.5372875</v>
      </c>
      <c r="F31" s="15">
        <f>SUM(F26,F30)</f>
        <v>11.883406125</v>
      </c>
      <c r="G31" s="15">
        <f>SUM(G26,G30)</f>
        <v>12.239908308750001</v>
      </c>
      <c r="L31" t="s">
        <v>57</v>
      </c>
      <c r="M31" s="24">
        <v>20.644083097263284</v>
      </c>
      <c r="N31" s="23">
        <f t="shared" ref="N31:N34" si="4">O31-M31</f>
        <v>1.1188271604938222</v>
      </c>
      <c r="O31">
        <v>21.762910257757106</v>
      </c>
    </row>
    <row r="32" spans="1:46" x14ac:dyDescent="0.2">
      <c r="A32" t="s">
        <v>24</v>
      </c>
      <c r="B32" t="s">
        <v>12</v>
      </c>
      <c r="C32" s="16">
        <f>C31*$B$6</f>
        <v>10.657500000000001</v>
      </c>
      <c r="D32" s="16">
        <f>D31*$B$6</f>
        <v>10.977224999999999</v>
      </c>
      <c r="E32" s="16">
        <f>E31*$B$6</f>
        <v>11.306541749999999</v>
      </c>
      <c r="F32" s="16">
        <f>F31*$B$6</f>
        <v>11.6457380025</v>
      </c>
      <c r="G32" s="16">
        <f>G31*$B$6</f>
        <v>11.995110142575001</v>
      </c>
      <c r="L32" t="s">
        <v>58</v>
      </c>
      <c r="M32" s="24">
        <v>20.726959183225787</v>
      </c>
      <c r="N32" s="23">
        <f t="shared" si="4"/>
        <v>1.0359510745313187</v>
      </c>
      <c r="O32">
        <v>21.762910257757106</v>
      </c>
    </row>
    <row r="33" spans="1:15" x14ac:dyDescent="0.2">
      <c r="A33" t="s">
        <v>11</v>
      </c>
      <c r="B33" t="s">
        <v>12</v>
      </c>
      <c r="C33" s="15">
        <f>$B$8</f>
        <v>4</v>
      </c>
      <c r="D33" s="15">
        <f>$B$8</f>
        <v>4</v>
      </c>
      <c r="E33" s="15">
        <f>$B$8</f>
        <v>4</v>
      </c>
      <c r="F33" s="15">
        <f>$B$8</f>
        <v>4</v>
      </c>
      <c r="G33" s="15">
        <f>$B$8</f>
        <v>4</v>
      </c>
      <c r="L33" t="s">
        <v>59</v>
      </c>
      <c r="M33" s="24">
        <v>20.803696299857734</v>
      </c>
      <c r="N33" s="23">
        <f t="shared" si="4"/>
        <v>0.95921395789937236</v>
      </c>
      <c r="O33">
        <v>21.762910257757106</v>
      </c>
    </row>
    <row r="34" spans="1:15" x14ac:dyDescent="0.2">
      <c r="A34" t="s">
        <v>25</v>
      </c>
      <c r="B34" t="s">
        <v>12</v>
      </c>
      <c r="C34" s="17">
        <f>IF(M25=5,L25,0)</f>
        <v>0</v>
      </c>
      <c r="D34" s="17">
        <f>IF(M25&gt;=4,L25,0)</f>
        <v>0</v>
      </c>
      <c r="E34" s="17">
        <f>IF(M25&gt;=3,L25,0)</f>
        <v>0</v>
      </c>
      <c r="F34" s="17">
        <f>IF(M25&gt;=2,L25,0)</f>
        <v>0</v>
      </c>
      <c r="G34" s="17">
        <f>IF(M25&gt;=1,L25,0)</f>
        <v>0</v>
      </c>
      <c r="L34" t="s">
        <v>60</v>
      </c>
      <c r="M34" s="24">
        <v>20.874749185628062</v>
      </c>
      <c r="N34" s="23">
        <f t="shared" si="4"/>
        <v>0.88816107212904427</v>
      </c>
      <c r="O34">
        <v>21.762910257757106</v>
      </c>
    </row>
    <row r="35" spans="1:15" x14ac:dyDescent="0.2">
      <c r="A35" t="s">
        <v>26</v>
      </c>
      <c r="B35" t="s">
        <v>12</v>
      </c>
      <c r="C35" s="15">
        <f>$B$9</f>
        <v>1</v>
      </c>
      <c r="D35" s="15">
        <f>$B$9</f>
        <v>1</v>
      </c>
      <c r="E35" s="15">
        <f>$B$9</f>
        <v>1</v>
      </c>
      <c r="F35" s="15">
        <f>$B$9</f>
        <v>1</v>
      </c>
      <c r="G35" s="15">
        <f>$B$9</f>
        <v>1</v>
      </c>
    </row>
    <row r="36" spans="1:15" x14ac:dyDescent="0.2">
      <c r="A36" t="s">
        <v>27</v>
      </c>
      <c r="B36" t="s">
        <v>12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7" spans="1:15" x14ac:dyDescent="0.2">
      <c r="A37" t="s">
        <v>28</v>
      </c>
      <c r="B37" t="s">
        <v>12</v>
      </c>
      <c r="C37" s="16">
        <f>C32-C33-C34-C35-C36</f>
        <v>5.6575000000000006</v>
      </c>
      <c r="D37" s="16">
        <f>D32-D33-D34-D35-D36</f>
        <v>5.9772249999999989</v>
      </c>
      <c r="E37" s="16">
        <f>E32-E33-E34-E35-E36</f>
        <v>6.3065417499999992</v>
      </c>
      <c r="F37" s="16">
        <f>F32-F33-F34-F35-F36</f>
        <v>6.6457380024999999</v>
      </c>
      <c r="G37" s="16">
        <f>G32-G33-G34-G35-G36</f>
        <v>6.9951101425750011</v>
      </c>
    </row>
    <row r="38" spans="1:15" x14ac:dyDescent="0.2">
      <c r="A38" t="s">
        <v>29</v>
      </c>
      <c r="B38" t="s">
        <v>12</v>
      </c>
      <c r="C38" s="15">
        <f>MAX(C37,0)*$B$10</f>
        <v>0.7354750000000001</v>
      </c>
      <c r="D38" s="15">
        <f>MAX(D37,0)*$B$10</f>
        <v>0.77703924999999985</v>
      </c>
      <c r="E38" s="15">
        <f>MAX(E37,0)*$B$10</f>
        <v>0.81985042749999992</v>
      </c>
      <c r="F38" s="15">
        <f>MAX(F37,0)*$B$10</f>
        <v>0.86394594032500005</v>
      </c>
      <c r="G38" s="15">
        <f>MAX(G37,0)*$B$10</f>
        <v>0.90936431853475019</v>
      </c>
    </row>
    <row r="39" spans="1:15" x14ac:dyDescent="0.2">
      <c r="A39" t="s">
        <v>122</v>
      </c>
      <c r="B39" t="s">
        <v>12</v>
      </c>
      <c r="C39" s="18">
        <f>C37-C38</f>
        <v>4.9220250000000005</v>
      </c>
      <c r="D39" s="18">
        <f>D37-D38</f>
        <v>5.2001857499999993</v>
      </c>
      <c r="E39" s="18">
        <f>E37-E38</f>
        <v>5.4866913224999996</v>
      </c>
      <c r="F39" s="18">
        <f>F37-F38</f>
        <v>5.7817920621749996</v>
      </c>
      <c r="G39" s="18">
        <f>G37-G38</f>
        <v>6.0857458240402504</v>
      </c>
    </row>
    <row r="40" spans="1:15" x14ac:dyDescent="0.2">
      <c r="A40" t="s">
        <v>120</v>
      </c>
      <c r="B40" t="s">
        <v>12</v>
      </c>
      <c r="C40" s="17">
        <v>4.2</v>
      </c>
      <c r="D40" s="17">
        <v>4.3</v>
      </c>
      <c r="E40" s="17">
        <v>4.4000000000000004</v>
      </c>
      <c r="F40" s="17">
        <v>4.5</v>
      </c>
      <c r="G40" s="17">
        <v>4.5999999999999996</v>
      </c>
    </row>
    <row r="41" spans="1:15" x14ac:dyDescent="0.2">
      <c r="A41" t="s">
        <v>121</v>
      </c>
      <c r="B41" t="s">
        <v>8</v>
      </c>
      <c r="C41" s="67">
        <f>C39/C40</f>
        <v>1.1719107142857144</v>
      </c>
      <c r="D41" s="67">
        <f t="shared" ref="D41:G41" si="5">D39/D40</f>
        <v>1.2093455232558139</v>
      </c>
      <c r="E41" s="67">
        <f t="shared" si="5"/>
        <v>1.2469753005681816</v>
      </c>
      <c r="F41" s="67">
        <f t="shared" si="5"/>
        <v>1.2848426804833333</v>
      </c>
      <c r="G41" s="67">
        <f t="shared" si="5"/>
        <v>1.3229882226174459</v>
      </c>
    </row>
    <row r="42" spans="1:15" x14ac:dyDescent="0.2">
      <c r="A42" t="s">
        <v>30</v>
      </c>
      <c r="B42" t="s">
        <v>12</v>
      </c>
      <c r="C42" s="18">
        <f>C39-C40</f>
        <v>0.72202500000000036</v>
      </c>
      <c r="D42" s="18">
        <f t="shared" ref="D42:G42" si="6">D39-D40</f>
        <v>0.90018574999999945</v>
      </c>
      <c r="E42" s="18">
        <f t="shared" si="6"/>
        <v>1.0866913224999992</v>
      </c>
      <c r="F42" s="18">
        <f t="shared" si="6"/>
        <v>1.2817920621749996</v>
      </c>
      <c r="G42" s="18">
        <f t="shared" si="6"/>
        <v>1.4857458240402508</v>
      </c>
    </row>
    <row r="43" spans="1:15" x14ac:dyDescent="0.2">
      <c r="A43" t="s">
        <v>31</v>
      </c>
      <c r="B43" t="s">
        <v>8</v>
      </c>
      <c r="C43" s="19">
        <f>1/(1+$B$11)^(C22-$C$22+1)</f>
        <v>0.92592592592592582</v>
      </c>
      <c r="D43" s="19">
        <f>1/(1+$B$11)^(D22-$C$22+1)</f>
        <v>0.85733882030178321</v>
      </c>
      <c r="E43" s="19">
        <f>1/(1+$B$11)^(E22-$C$22+1)</f>
        <v>0.79383224102016958</v>
      </c>
      <c r="F43" s="19">
        <f>1/(1+$B$11)^(F22-$C$22+1)</f>
        <v>0.73502985279645328</v>
      </c>
      <c r="G43" s="19">
        <f>1/(1+$B$11)^(G22-$C$22+1)</f>
        <v>0.68058319703375303</v>
      </c>
    </row>
    <row r="44" spans="1:15" x14ac:dyDescent="0.2">
      <c r="A44" t="s">
        <v>32</v>
      </c>
      <c r="B44" t="s">
        <v>12</v>
      </c>
      <c r="C44" s="20">
        <f>C42*C43</f>
        <v>0.66854166666666692</v>
      </c>
      <c r="D44" s="20">
        <f t="shared" ref="D44:G44" si="7">D42*D43</f>
        <v>0.77176418895747545</v>
      </c>
      <c r="E44" s="20">
        <f t="shared" si="7"/>
        <v>0.86265060783734626</v>
      </c>
      <c r="F44" s="20">
        <f t="shared" si="7"/>
        <v>0.94215543077615227</v>
      </c>
      <c r="G44" s="20">
        <f t="shared" si="7"/>
        <v>1.0111736429048617</v>
      </c>
    </row>
    <row r="46" spans="1:15" ht="19" x14ac:dyDescent="0.25">
      <c r="A46" s="41" t="s">
        <v>33</v>
      </c>
      <c r="B46" s="37"/>
      <c r="C46" s="22">
        <f>SUM(C44:G44)</f>
        <v>4.256285537142503</v>
      </c>
      <c r="D46" s="37"/>
      <c r="E46" s="37"/>
      <c r="F46" s="37"/>
      <c r="G46" s="37"/>
    </row>
    <row r="49" spans="1:7" x14ac:dyDescent="0.2">
      <c r="A49" s="41" t="s">
        <v>34</v>
      </c>
      <c r="B49" s="37"/>
      <c r="C49" s="37"/>
      <c r="D49" s="37"/>
      <c r="E49" s="37"/>
      <c r="F49" s="37"/>
      <c r="G49" s="37"/>
    </row>
    <row r="51" spans="1:7" ht="30" customHeight="1" x14ac:dyDescent="0.2">
      <c r="A51" s="38" t="s">
        <v>35</v>
      </c>
      <c r="B51" s="39"/>
      <c r="C51" s="39"/>
      <c r="D51" s="39"/>
      <c r="E51" s="39"/>
      <c r="F51" s="39"/>
      <c r="G51" s="39"/>
    </row>
    <row r="52" spans="1:7" x14ac:dyDescent="0.2">
      <c r="A52" s="39"/>
      <c r="B52" s="39"/>
      <c r="C52" s="39"/>
      <c r="D52" s="39"/>
      <c r="E52" s="39"/>
      <c r="F52" s="39"/>
      <c r="G52" s="39"/>
    </row>
    <row r="53" spans="1:7" x14ac:dyDescent="0.2">
      <c r="A53" s="39"/>
      <c r="B53" s="39"/>
      <c r="C53" s="39"/>
      <c r="D53" s="39"/>
      <c r="E53" s="39"/>
      <c r="F53" s="39"/>
      <c r="G53" s="39"/>
    </row>
    <row r="54" spans="1:7" x14ac:dyDescent="0.2">
      <c r="A54" s="39"/>
      <c r="B54" s="39"/>
      <c r="C54" s="39"/>
      <c r="D54" s="39"/>
      <c r="E54" s="39"/>
      <c r="F54" s="39"/>
      <c r="G54" s="39"/>
    </row>
    <row r="55" spans="1:7" x14ac:dyDescent="0.2">
      <c r="A55" s="39"/>
      <c r="B55" s="39"/>
      <c r="C55" s="39"/>
      <c r="D55" s="39"/>
      <c r="E55" s="39"/>
      <c r="F55" s="39"/>
      <c r="G55" s="39"/>
    </row>
    <row r="56" spans="1:7" x14ac:dyDescent="0.2">
      <c r="A56" s="39"/>
      <c r="B56" s="39"/>
      <c r="C56" s="39"/>
      <c r="D56" s="39"/>
      <c r="E56" s="39"/>
      <c r="F56" s="39"/>
      <c r="G56" s="39"/>
    </row>
    <row r="57" spans="1:7" x14ac:dyDescent="0.2">
      <c r="A57" s="39"/>
      <c r="B57" s="39"/>
      <c r="C57" s="39"/>
      <c r="D57" s="39"/>
      <c r="E57" s="39"/>
      <c r="F57" s="39"/>
      <c r="G57" s="39"/>
    </row>
    <row r="59" spans="1:7" ht="30" customHeight="1" x14ac:dyDescent="0.2">
      <c r="A59" s="38" t="s">
        <v>36</v>
      </c>
      <c r="B59" s="39"/>
      <c r="C59" s="39"/>
      <c r="D59" s="39"/>
      <c r="E59" s="39"/>
      <c r="F59" s="39"/>
      <c r="G59" s="39"/>
    </row>
    <row r="60" spans="1:7" x14ac:dyDescent="0.2">
      <c r="A60" s="39"/>
      <c r="B60" s="39"/>
      <c r="C60" s="39"/>
      <c r="D60" s="39"/>
      <c r="E60" s="39"/>
      <c r="F60" s="39"/>
      <c r="G60" s="39"/>
    </row>
    <row r="61" spans="1:7" x14ac:dyDescent="0.2">
      <c r="A61" s="39"/>
      <c r="B61" s="39"/>
      <c r="C61" s="39"/>
      <c r="D61" s="39"/>
      <c r="E61" s="39"/>
      <c r="F61" s="39"/>
      <c r="G61" s="39"/>
    </row>
    <row r="62" spans="1:7" x14ac:dyDescent="0.2">
      <c r="A62" s="39"/>
      <c r="B62" s="39"/>
      <c r="C62" s="39"/>
      <c r="D62" s="39"/>
      <c r="E62" s="39"/>
      <c r="F62" s="39"/>
      <c r="G62" s="39"/>
    </row>
    <row r="63" spans="1:7" x14ac:dyDescent="0.2">
      <c r="A63" s="39"/>
      <c r="B63" s="39"/>
      <c r="C63" s="39"/>
      <c r="D63" s="39"/>
      <c r="E63" s="39"/>
      <c r="F63" s="39"/>
      <c r="G63" s="39"/>
    </row>
    <row r="64" spans="1:7" x14ac:dyDescent="0.2">
      <c r="A64" s="39"/>
      <c r="B64" s="39"/>
      <c r="C64" s="39"/>
      <c r="D64" s="39"/>
      <c r="E64" s="39"/>
      <c r="F64" s="39"/>
      <c r="G64" s="39"/>
    </row>
    <row r="65" spans="1:7" x14ac:dyDescent="0.2">
      <c r="A65" s="39"/>
      <c r="B65" s="39"/>
      <c r="C65" s="39"/>
      <c r="D65" s="39"/>
      <c r="E65" s="39"/>
      <c r="F65" s="39"/>
      <c r="G65" s="39"/>
    </row>
    <row r="67" spans="1:7" ht="30" customHeight="1" x14ac:dyDescent="0.2">
      <c r="A67" s="38" t="s">
        <v>37</v>
      </c>
      <c r="B67" s="39"/>
      <c r="C67" s="39"/>
      <c r="D67" s="39"/>
      <c r="E67" s="39"/>
      <c r="F67" s="39"/>
      <c r="G67" s="39"/>
    </row>
    <row r="68" spans="1:7" x14ac:dyDescent="0.2">
      <c r="A68" s="39"/>
      <c r="B68" s="39"/>
      <c r="C68" s="39"/>
      <c r="D68" s="39"/>
      <c r="E68" s="39"/>
      <c r="F68" s="39"/>
      <c r="G68" s="39"/>
    </row>
    <row r="69" spans="1:7" x14ac:dyDescent="0.2">
      <c r="A69" s="39"/>
      <c r="B69" s="39"/>
      <c r="C69" s="39"/>
      <c r="D69" s="39"/>
      <c r="E69" s="39"/>
      <c r="F69" s="39"/>
      <c r="G69" s="39"/>
    </row>
    <row r="70" spans="1:7" x14ac:dyDescent="0.2">
      <c r="A70" s="39"/>
      <c r="B70" s="39"/>
      <c r="C70" s="39"/>
      <c r="D70" s="39"/>
      <c r="E70" s="39"/>
      <c r="F70" s="39"/>
      <c r="G70" s="39"/>
    </row>
    <row r="71" spans="1:7" x14ac:dyDescent="0.2">
      <c r="A71" s="39"/>
      <c r="B71" s="39"/>
      <c r="C71" s="39"/>
      <c r="D71" s="39"/>
      <c r="E71" s="39"/>
      <c r="F71" s="39"/>
      <c r="G71" s="39"/>
    </row>
    <row r="72" spans="1:7" x14ac:dyDescent="0.2">
      <c r="A72" s="39"/>
      <c r="B72" s="39"/>
      <c r="C72" s="39"/>
      <c r="D72" s="39"/>
      <c r="E72" s="39"/>
      <c r="F72" s="39"/>
      <c r="G72" s="39"/>
    </row>
    <row r="73" spans="1:7" x14ac:dyDescent="0.2">
      <c r="A73" s="39"/>
      <c r="B73" s="39"/>
      <c r="C73" s="39"/>
      <c r="D73" s="39"/>
      <c r="E73" s="39"/>
      <c r="F73" s="39"/>
      <c r="G73" s="39"/>
    </row>
    <row r="99" spans="13:43" x14ac:dyDescent="0.2">
      <c r="O99" s="51">
        <v>0.7</v>
      </c>
      <c r="P99" s="50">
        <v>0.65</v>
      </c>
      <c r="Q99" s="51">
        <v>0.6</v>
      </c>
      <c r="R99" s="50">
        <v>0.55000000000000004</v>
      </c>
      <c r="S99" s="51">
        <v>0.5</v>
      </c>
      <c r="T99" s="50">
        <v>0.45</v>
      </c>
      <c r="U99" s="51">
        <v>0.4</v>
      </c>
      <c r="V99" s="50">
        <v>0.35</v>
      </c>
      <c r="W99" s="51">
        <v>0.3</v>
      </c>
      <c r="X99" s="50">
        <v>0.25</v>
      </c>
      <c r="Y99" s="51">
        <v>0.2</v>
      </c>
      <c r="Z99" s="50">
        <v>0.15</v>
      </c>
      <c r="AA99" s="51">
        <v>0.1</v>
      </c>
      <c r="AB99" s="50">
        <v>0.05</v>
      </c>
      <c r="AC99" s="51">
        <v>0</v>
      </c>
      <c r="AD99" s="51">
        <v>-4.9999999999998997E-2</v>
      </c>
      <c r="AE99" s="50">
        <v>-9.9999999999999103E-2</v>
      </c>
      <c r="AF99" s="51">
        <v>-0.149999999999999</v>
      </c>
      <c r="AG99" s="50">
        <v>-0.19999999999999901</v>
      </c>
      <c r="AH99" s="51">
        <v>-0.249999999999999</v>
      </c>
      <c r="AI99" s="50">
        <v>-0.29999999999999899</v>
      </c>
      <c r="AJ99" s="51">
        <v>-0.35</v>
      </c>
      <c r="AK99" s="50">
        <v>-0.4</v>
      </c>
      <c r="AL99" s="51">
        <v>-0.45</v>
      </c>
      <c r="AM99" s="50">
        <v>-0.5</v>
      </c>
      <c r="AN99" s="51">
        <v>-0.55000000000000004</v>
      </c>
      <c r="AO99" s="50">
        <v>-0.6</v>
      </c>
      <c r="AP99" s="51">
        <v>-0.65</v>
      </c>
      <c r="AQ99" s="50">
        <v>-0.7</v>
      </c>
    </row>
    <row r="100" spans="13:43" x14ac:dyDescent="0.2">
      <c r="N100" s="25">
        <f>L3</f>
        <v>56.582114895074994</v>
      </c>
      <c r="O100">
        <v>0.85</v>
      </c>
      <c r="P100">
        <v>0.82499999999999996</v>
      </c>
      <c r="Q100">
        <v>0.8</v>
      </c>
      <c r="R100">
        <v>0.77500000000000002</v>
      </c>
      <c r="S100">
        <v>0.75</v>
      </c>
      <c r="T100">
        <v>0.72499999999999998</v>
      </c>
      <c r="U100">
        <v>0.7</v>
      </c>
      <c r="V100">
        <v>0.67500000000000004</v>
      </c>
      <c r="W100">
        <v>0.65</v>
      </c>
      <c r="X100">
        <v>0.625</v>
      </c>
      <c r="Y100">
        <v>0.6</v>
      </c>
      <c r="Z100">
        <v>0.57499999999999996</v>
      </c>
      <c r="AA100">
        <v>0.55000000000000004</v>
      </c>
      <c r="AB100">
        <v>0.52500000000000002</v>
      </c>
      <c r="AC100" s="23">
        <v>0.5</v>
      </c>
      <c r="AD100">
        <v>0.47500000000000048</v>
      </c>
      <c r="AE100">
        <v>0.45000000000000046</v>
      </c>
      <c r="AF100">
        <v>0.42500000000000049</v>
      </c>
      <c r="AG100">
        <v>0.40000000000000047</v>
      </c>
      <c r="AH100">
        <v>0.3750000000000005</v>
      </c>
      <c r="AI100">
        <v>0.35000000000000053</v>
      </c>
      <c r="AJ100">
        <v>0.32500000000000001</v>
      </c>
      <c r="AK100">
        <v>0.3</v>
      </c>
      <c r="AL100">
        <v>0.27500000000000002</v>
      </c>
      <c r="AM100">
        <v>0.25</v>
      </c>
      <c r="AN100">
        <v>0.22499999999999998</v>
      </c>
      <c r="AO100">
        <v>0.2</v>
      </c>
      <c r="AP100">
        <v>0.17499999999999999</v>
      </c>
      <c r="AQ100">
        <v>0.15000000000000002</v>
      </c>
    </row>
    <row r="101" spans="13:43" x14ac:dyDescent="0.2">
      <c r="M101" s="51">
        <v>0.7</v>
      </c>
      <c r="N101">
        <v>25.5</v>
      </c>
      <c r="O101">
        <f t="dataTable" ref="O101:AQ129" dt2D="1" dtr="1" r1="G10" r2="G5" ca="1"/>
        <v>61.594509831814577</v>
      </c>
      <c r="P101">
        <v>62.407146068152478</v>
      </c>
      <c r="Q101">
        <v>63.219782304490352</v>
      </c>
      <c r="R101">
        <v>64.032418540828246</v>
      </c>
      <c r="S101">
        <v>64.845054777166141</v>
      </c>
      <c r="T101">
        <v>65.657691013504021</v>
      </c>
      <c r="U101">
        <v>66.470327249841901</v>
      </c>
      <c r="V101">
        <v>67.282963486179796</v>
      </c>
      <c r="W101">
        <v>68.095599722517676</v>
      </c>
      <c r="X101">
        <v>68.90823595885557</v>
      </c>
      <c r="Y101">
        <v>69.720872195193465</v>
      </c>
      <c r="Z101">
        <v>70.533508431531331</v>
      </c>
      <c r="AA101">
        <v>71.346144667869225</v>
      </c>
      <c r="AB101">
        <v>72.15878090420712</v>
      </c>
      <c r="AC101">
        <v>72.971417140545</v>
      </c>
      <c r="AD101">
        <v>73.784053376882881</v>
      </c>
      <c r="AE101">
        <v>74.596689613220775</v>
      </c>
      <c r="AF101">
        <v>75.409325849558655</v>
      </c>
      <c r="AG101">
        <v>76.221962085896536</v>
      </c>
      <c r="AH101">
        <v>77.034598322234416</v>
      </c>
      <c r="AI101">
        <v>77.847234558572325</v>
      </c>
      <c r="AJ101">
        <v>78.659870794910219</v>
      </c>
      <c r="AK101">
        <v>79.472507031248099</v>
      </c>
      <c r="AL101">
        <v>80.285143267585994</v>
      </c>
      <c r="AM101">
        <v>81.097779503923874</v>
      </c>
      <c r="AN101">
        <v>81.910415740261783</v>
      </c>
      <c r="AO101">
        <v>82.723051976599663</v>
      </c>
      <c r="AP101">
        <v>83.535688212937544</v>
      </c>
      <c r="AQ101">
        <v>84.348324449275424</v>
      </c>
    </row>
    <row r="102" spans="13:43" x14ac:dyDescent="0.2">
      <c r="M102" s="50">
        <v>0.65</v>
      </c>
      <c r="N102">
        <v>24.75</v>
      </c>
      <c r="O102">
        <v>62.181305385424707</v>
      </c>
      <c r="P102">
        <v>62.913702329519147</v>
      </c>
      <c r="Q102">
        <v>63.646099273613586</v>
      </c>
      <c r="R102">
        <v>64.378496217708033</v>
      </c>
      <c r="S102">
        <v>65.110893161802466</v>
      </c>
      <c r="T102">
        <v>65.843290105896912</v>
      </c>
      <c r="U102">
        <v>66.575687049991345</v>
      </c>
      <c r="V102">
        <v>67.308083994085791</v>
      </c>
      <c r="W102">
        <v>68.040480938180224</v>
      </c>
      <c r="X102">
        <v>68.77287788227467</v>
      </c>
      <c r="Y102">
        <v>69.505274826369117</v>
      </c>
      <c r="Z102">
        <v>70.23767177046355</v>
      </c>
      <c r="AA102">
        <v>70.970068714557982</v>
      </c>
      <c r="AB102">
        <v>71.702465658652429</v>
      </c>
      <c r="AC102">
        <v>72.434862602746875</v>
      </c>
      <c r="AD102">
        <v>73.167259546841294</v>
      </c>
      <c r="AE102">
        <v>73.89965649093574</v>
      </c>
      <c r="AF102">
        <v>74.632053435030187</v>
      </c>
      <c r="AG102">
        <v>75.364450379124619</v>
      </c>
      <c r="AH102">
        <v>76.096847323219066</v>
      </c>
      <c r="AI102">
        <v>76.829244267313499</v>
      </c>
      <c r="AJ102">
        <v>77.561641211407959</v>
      </c>
      <c r="AK102">
        <v>78.294038155502392</v>
      </c>
      <c r="AL102">
        <v>79.026435099596839</v>
      </c>
      <c r="AM102">
        <v>79.758832043691285</v>
      </c>
      <c r="AN102">
        <v>80.491228987785718</v>
      </c>
      <c r="AO102">
        <v>81.223625931880164</v>
      </c>
      <c r="AP102">
        <v>81.956022875974583</v>
      </c>
      <c r="AQ102">
        <v>82.688419820069043</v>
      </c>
    </row>
    <row r="103" spans="13:43" x14ac:dyDescent="0.2">
      <c r="M103" s="51">
        <v>0.6</v>
      </c>
      <c r="N103">
        <v>24</v>
      </c>
      <c r="O103">
        <v>62.622743436976805</v>
      </c>
      <c r="P103">
        <v>63.278315526795602</v>
      </c>
      <c r="Q103">
        <v>63.933887616614399</v>
      </c>
      <c r="R103">
        <v>64.589459706433203</v>
      </c>
      <c r="S103">
        <v>65.245031796252007</v>
      </c>
      <c r="T103">
        <v>65.900603886070797</v>
      </c>
      <c r="U103">
        <v>66.556175975889602</v>
      </c>
      <c r="V103">
        <v>67.211748065708406</v>
      </c>
      <c r="W103">
        <v>67.867320155527196</v>
      </c>
      <c r="X103">
        <v>68.522892245346</v>
      </c>
      <c r="Y103">
        <v>69.178464335164804</v>
      </c>
      <c r="Z103">
        <v>69.834036424983609</v>
      </c>
      <c r="AA103">
        <v>70.489608514802399</v>
      </c>
      <c r="AB103">
        <v>71.145180604621203</v>
      </c>
      <c r="AC103">
        <v>71.800752694440007</v>
      </c>
      <c r="AD103">
        <v>72.456324784258797</v>
      </c>
      <c r="AE103">
        <v>73.111896874077587</v>
      </c>
      <c r="AF103">
        <v>73.767468963896391</v>
      </c>
      <c r="AG103">
        <v>74.423041053715195</v>
      </c>
      <c r="AH103">
        <v>75.078613143533985</v>
      </c>
      <c r="AI103">
        <v>75.73418523335279</v>
      </c>
      <c r="AJ103">
        <v>76.389757323171594</v>
      </c>
      <c r="AK103">
        <v>77.045329412990412</v>
      </c>
      <c r="AL103">
        <v>77.700901502809202</v>
      </c>
      <c r="AM103">
        <v>78.356473592627992</v>
      </c>
      <c r="AN103">
        <v>79.012045682446796</v>
      </c>
      <c r="AO103">
        <v>79.667617772265601</v>
      </c>
      <c r="AP103">
        <v>80.323189862084405</v>
      </c>
      <c r="AQ103">
        <v>80.978761951903209</v>
      </c>
    </row>
    <row r="104" spans="13:43" x14ac:dyDescent="0.2">
      <c r="M104" s="50">
        <v>0.55000000000000004</v>
      </c>
      <c r="N104">
        <v>23.25</v>
      </c>
      <c r="O104">
        <v>62.918823986470855</v>
      </c>
      <c r="P104">
        <v>63.500985659981829</v>
      </c>
      <c r="Q104">
        <v>64.083147333492789</v>
      </c>
      <c r="R104">
        <v>64.665309007003756</v>
      </c>
      <c r="S104">
        <v>65.247470680514709</v>
      </c>
      <c r="T104">
        <v>65.829632354025676</v>
      </c>
      <c r="U104">
        <v>66.411794027536658</v>
      </c>
      <c r="V104">
        <v>66.993955701047611</v>
      </c>
      <c r="W104">
        <v>67.576117374558592</v>
      </c>
      <c r="X104">
        <v>68.158279048069545</v>
      </c>
      <c r="Y104">
        <v>68.740440721580512</v>
      </c>
      <c r="Z104">
        <v>69.322602395091494</v>
      </c>
      <c r="AA104">
        <v>69.904764068602447</v>
      </c>
      <c r="AB104">
        <v>70.486925742113414</v>
      </c>
      <c r="AC104">
        <v>71.069087415624367</v>
      </c>
      <c r="AD104">
        <v>71.651249089135334</v>
      </c>
      <c r="AE104">
        <v>72.233410762646301</v>
      </c>
      <c r="AF104">
        <v>72.815572436157268</v>
      </c>
      <c r="AG104">
        <v>73.397734109668235</v>
      </c>
      <c r="AH104">
        <v>73.979895783179202</v>
      </c>
      <c r="AI104">
        <v>74.562057456690155</v>
      </c>
      <c r="AJ104">
        <v>75.144219130201137</v>
      </c>
      <c r="AK104">
        <v>75.726380803712104</v>
      </c>
      <c r="AL104">
        <v>76.308542477223071</v>
      </c>
      <c r="AM104">
        <v>76.890704150734024</v>
      </c>
      <c r="AN104">
        <v>77.472865824244991</v>
      </c>
      <c r="AO104">
        <v>78.055027497755972</v>
      </c>
      <c r="AP104">
        <v>78.63718917126694</v>
      </c>
      <c r="AQ104">
        <v>79.219350844777892</v>
      </c>
    </row>
    <row r="105" spans="13:43" x14ac:dyDescent="0.2">
      <c r="M105" s="51">
        <v>0.5</v>
      </c>
      <c r="N105">
        <v>22.5</v>
      </c>
      <c r="O105">
        <v>63.069547033906872</v>
      </c>
      <c r="P105">
        <v>63.581712729077815</v>
      </c>
      <c r="Q105">
        <v>64.093878424248743</v>
      </c>
      <c r="R105">
        <v>64.606044119419693</v>
      </c>
      <c r="S105">
        <v>65.118209814590628</v>
      </c>
      <c r="T105">
        <v>65.630375509761564</v>
      </c>
      <c r="U105">
        <v>66.142541204932499</v>
      </c>
      <c r="V105">
        <v>66.654706900103434</v>
      </c>
      <c r="W105">
        <v>67.16687259527437</v>
      </c>
      <c r="X105">
        <v>67.679038290445305</v>
      </c>
      <c r="Y105">
        <v>68.191203985616255</v>
      </c>
      <c r="Z105">
        <v>68.703369680787176</v>
      </c>
      <c r="AA105">
        <v>69.215535375958126</v>
      </c>
      <c r="AB105">
        <v>69.727701071129061</v>
      </c>
      <c r="AC105">
        <v>70.239866766299997</v>
      </c>
      <c r="AD105">
        <v>70.752032461470932</v>
      </c>
      <c r="AE105">
        <v>71.264198156641868</v>
      </c>
      <c r="AF105">
        <v>71.776363851812818</v>
      </c>
      <c r="AG105">
        <v>72.288529546983753</v>
      </c>
      <c r="AH105">
        <v>72.800695242154688</v>
      </c>
      <c r="AI105">
        <v>73.31286093732561</v>
      </c>
      <c r="AJ105">
        <v>73.825026632496559</v>
      </c>
      <c r="AK105">
        <v>74.337192327667509</v>
      </c>
      <c r="AL105">
        <v>74.849358022838445</v>
      </c>
      <c r="AM105">
        <v>75.36152371800938</v>
      </c>
      <c r="AN105">
        <v>75.873689413180315</v>
      </c>
      <c r="AO105">
        <v>76.385855108351251</v>
      </c>
      <c r="AP105">
        <v>76.898020803522186</v>
      </c>
      <c r="AQ105">
        <v>77.410186498693122</v>
      </c>
    </row>
    <row r="106" spans="13:43" x14ac:dyDescent="0.2">
      <c r="M106" s="50">
        <v>0.45</v>
      </c>
      <c r="N106">
        <v>21.75</v>
      </c>
      <c r="O106">
        <v>63.074912579284842</v>
      </c>
      <c r="P106">
        <v>63.520496734083572</v>
      </c>
      <c r="Q106">
        <v>63.966080888882281</v>
      </c>
      <c r="R106">
        <v>64.411665043680998</v>
      </c>
      <c r="S106">
        <v>64.857249198479721</v>
      </c>
      <c r="T106">
        <v>65.302833353278444</v>
      </c>
      <c r="U106">
        <v>65.748417508077154</v>
      </c>
      <c r="V106">
        <v>66.194001662875863</v>
      </c>
      <c r="W106">
        <v>66.639585817674572</v>
      </c>
      <c r="X106">
        <v>67.085169972473295</v>
      </c>
      <c r="Y106">
        <v>67.530754127272019</v>
      </c>
      <c r="Z106">
        <v>67.976338282070728</v>
      </c>
      <c r="AA106">
        <v>68.421922436869437</v>
      </c>
      <c r="AB106">
        <v>68.867506591668146</v>
      </c>
      <c r="AC106">
        <v>69.31309074646687</v>
      </c>
      <c r="AD106">
        <v>69.758674901265579</v>
      </c>
      <c r="AE106">
        <v>70.204259056064302</v>
      </c>
      <c r="AF106">
        <v>70.649843210863025</v>
      </c>
      <c r="AG106">
        <v>71.095427365661735</v>
      </c>
      <c r="AH106">
        <v>71.541011520460444</v>
      </c>
      <c r="AI106">
        <v>71.986595675259153</v>
      </c>
      <c r="AJ106">
        <v>72.432179830057876</v>
      </c>
      <c r="AK106">
        <v>72.8777639848566</v>
      </c>
      <c r="AL106">
        <v>73.323348139655323</v>
      </c>
      <c r="AM106">
        <v>73.768932294454032</v>
      </c>
      <c r="AN106">
        <v>74.214516449252741</v>
      </c>
      <c r="AO106">
        <v>74.660100604051465</v>
      </c>
      <c r="AP106">
        <v>75.105684758850188</v>
      </c>
      <c r="AQ106">
        <v>75.551268913648897</v>
      </c>
    </row>
    <row r="107" spans="13:43" x14ac:dyDescent="0.2">
      <c r="M107" s="51">
        <v>0.4</v>
      </c>
      <c r="N107">
        <v>21</v>
      </c>
      <c r="O107">
        <v>62.934920622604793</v>
      </c>
      <c r="P107">
        <v>63.317337674999095</v>
      </c>
      <c r="Q107">
        <v>63.69975472739339</v>
      </c>
      <c r="R107">
        <v>64.0821717797877</v>
      </c>
      <c r="S107">
        <v>64.464588832182002</v>
      </c>
      <c r="T107">
        <v>64.847005884576291</v>
      </c>
      <c r="U107">
        <v>65.229422936970593</v>
      </c>
      <c r="V107">
        <v>65.611839989364896</v>
      </c>
      <c r="W107">
        <v>65.994257041759198</v>
      </c>
      <c r="X107">
        <v>66.376674094153486</v>
      </c>
      <c r="Y107">
        <v>66.759091146547803</v>
      </c>
      <c r="Z107">
        <v>67.141508198942105</v>
      </c>
      <c r="AA107">
        <v>67.523925251336394</v>
      </c>
      <c r="AB107">
        <v>67.906342303730696</v>
      </c>
      <c r="AC107">
        <v>68.288759356124999</v>
      </c>
      <c r="AD107">
        <v>68.671176408519287</v>
      </c>
      <c r="AE107">
        <v>69.053593460913589</v>
      </c>
      <c r="AF107">
        <v>69.436010513307892</v>
      </c>
      <c r="AG107">
        <v>69.818427565702194</v>
      </c>
      <c r="AH107">
        <v>70.200844618096482</v>
      </c>
      <c r="AI107">
        <v>70.583261670490799</v>
      </c>
      <c r="AJ107">
        <v>70.965678722885102</v>
      </c>
      <c r="AK107">
        <v>71.34809577527939</v>
      </c>
      <c r="AL107">
        <v>71.730512827673692</v>
      </c>
      <c r="AM107">
        <v>72.112929880067995</v>
      </c>
      <c r="AN107">
        <v>72.495346932462297</v>
      </c>
      <c r="AO107">
        <v>72.877763984856585</v>
      </c>
      <c r="AP107">
        <v>73.260181037250888</v>
      </c>
      <c r="AQ107">
        <v>73.64259808964519</v>
      </c>
    </row>
    <row r="108" spans="13:43" x14ac:dyDescent="0.2">
      <c r="M108" s="50">
        <v>0.35</v>
      </c>
      <c r="N108">
        <v>20.25</v>
      </c>
      <c r="O108">
        <v>62.649571163866703</v>
      </c>
      <c r="P108">
        <v>62.972235551824397</v>
      </c>
      <c r="Q108">
        <v>63.294899939782084</v>
      </c>
      <c r="R108">
        <v>63.617564327739778</v>
      </c>
      <c r="S108">
        <v>63.940228715697472</v>
      </c>
      <c r="T108">
        <v>64.262893103655159</v>
      </c>
      <c r="U108">
        <v>64.58555749161286</v>
      </c>
      <c r="V108">
        <v>64.908221879570547</v>
      </c>
      <c r="W108">
        <v>65.230886267528234</v>
      </c>
      <c r="X108">
        <v>65.553550655485921</v>
      </c>
      <c r="Y108">
        <v>65.876215043443608</v>
      </c>
      <c r="Z108">
        <v>66.198879431401309</v>
      </c>
      <c r="AA108">
        <v>66.521543819358996</v>
      </c>
      <c r="AB108">
        <v>66.844208207316683</v>
      </c>
      <c r="AC108">
        <v>67.16687259527437</v>
      </c>
      <c r="AD108">
        <v>67.489536983232057</v>
      </c>
      <c r="AE108">
        <v>67.812201371189744</v>
      </c>
      <c r="AF108">
        <v>68.134865759147445</v>
      </c>
      <c r="AG108">
        <v>68.457530147105132</v>
      </c>
      <c r="AH108">
        <v>68.780194535062819</v>
      </c>
      <c r="AI108">
        <v>69.10285892302052</v>
      </c>
      <c r="AJ108">
        <v>69.425523310978207</v>
      </c>
      <c r="AK108">
        <v>69.748187698935894</v>
      </c>
      <c r="AL108">
        <v>70.070852086893595</v>
      </c>
      <c r="AM108">
        <v>70.393516474851282</v>
      </c>
      <c r="AN108">
        <v>70.716180862808983</v>
      </c>
      <c r="AO108">
        <v>71.038845250766656</v>
      </c>
      <c r="AP108">
        <v>71.361509638724357</v>
      </c>
      <c r="AQ108">
        <v>71.684174026682044</v>
      </c>
    </row>
    <row r="109" spans="13:43" x14ac:dyDescent="0.2">
      <c r="M109" s="51">
        <v>0.3</v>
      </c>
      <c r="N109">
        <v>19.5</v>
      </c>
      <c r="O109">
        <v>62.218864203070574</v>
      </c>
      <c r="P109">
        <v>62.485190364559465</v>
      </c>
      <c r="Q109">
        <v>62.751516526048349</v>
      </c>
      <c r="R109">
        <v>63.017842687537239</v>
      </c>
      <c r="S109">
        <v>63.28416884902613</v>
      </c>
      <c r="T109">
        <v>63.550495010515007</v>
      </c>
      <c r="U109">
        <v>63.816821172003898</v>
      </c>
      <c r="V109">
        <v>64.083147333492789</v>
      </c>
      <c r="W109">
        <v>64.349473494981666</v>
      </c>
      <c r="X109">
        <v>64.615799656470557</v>
      </c>
      <c r="Y109">
        <v>64.882125817959448</v>
      </c>
      <c r="Z109">
        <v>65.148451979448339</v>
      </c>
      <c r="AA109">
        <v>65.414778140937216</v>
      </c>
      <c r="AB109">
        <v>65.681104302426107</v>
      </c>
      <c r="AC109">
        <v>65.947430463914998</v>
      </c>
      <c r="AD109">
        <v>66.213756625403875</v>
      </c>
      <c r="AE109">
        <v>66.480082786892766</v>
      </c>
      <c r="AF109">
        <v>66.746408948381657</v>
      </c>
      <c r="AG109">
        <v>67.012735109870533</v>
      </c>
      <c r="AH109">
        <v>67.279061271359438</v>
      </c>
      <c r="AI109">
        <v>67.545387432848315</v>
      </c>
      <c r="AJ109">
        <v>67.81171359433722</v>
      </c>
      <c r="AK109">
        <v>68.078039755826097</v>
      </c>
      <c r="AL109">
        <v>68.344365917314988</v>
      </c>
      <c r="AM109">
        <v>68.610692078803879</v>
      </c>
      <c r="AN109">
        <v>68.877018240292756</v>
      </c>
      <c r="AO109">
        <v>69.143344401781647</v>
      </c>
      <c r="AP109">
        <v>69.409670563270538</v>
      </c>
      <c r="AQ109">
        <v>69.675996724759429</v>
      </c>
    </row>
    <row r="110" spans="13:43" x14ac:dyDescent="0.2">
      <c r="M110" s="50">
        <v>0.25</v>
      </c>
      <c r="N110">
        <v>18.75</v>
      </c>
      <c r="O110">
        <v>61.642799740216404</v>
      </c>
      <c r="P110">
        <v>61.85620211320429</v>
      </c>
      <c r="Q110">
        <v>62.069604486192191</v>
      </c>
      <c r="R110">
        <v>62.283006859180077</v>
      </c>
      <c r="S110">
        <v>62.496409232167963</v>
      </c>
      <c r="T110">
        <v>62.709811605155863</v>
      </c>
      <c r="U110">
        <v>62.92321397814375</v>
      </c>
      <c r="V110">
        <v>63.136616351131636</v>
      </c>
      <c r="W110">
        <v>63.350018724119536</v>
      </c>
      <c r="X110">
        <v>63.563421097107422</v>
      </c>
      <c r="Y110">
        <v>63.776823470095316</v>
      </c>
      <c r="Z110">
        <v>63.990225843083195</v>
      </c>
      <c r="AA110">
        <v>64.203628216071095</v>
      </c>
      <c r="AB110">
        <v>64.417030589058982</v>
      </c>
      <c r="AC110">
        <v>64.630432962046868</v>
      </c>
      <c r="AD110">
        <v>64.843835335034768</v>
      </c>
      <c r="AE110">
        <v>65.057237708022654</v>
      </c>
      <c r="AF110">
        <v>65.270640081010527</v>
      </c>
      <c r="AG110">
        <v>65.484042453998427</v>
      </c>
      <c r="AH110">
        <v>65.697444826986327</v>
      </c>
      <c r="AI110">
        <v>65.910847199974214</v>
      </c>
      <c r="AJ110">
        <v>66.124249572962114</v>
      </c>
      <c r="AK110">
        <v>66.33765194595</v>
      </c>
      <c r="AL110">
        <v>66.551054318937886</v>
      </c>
      <c r="AM110">
        <v>66.764456691925773</v>
      </c>
      <c r="AN110">
        <v>66.977859064913673</v>
      </c>
      <c r="AO110">
        <v>67.191261437901559</v>
      </c>
      <c r="AP110">
        <v>67.404663810889446</v>
      </c>
      <c r="AQ110">
        <v>67.618066183877346</v>
      </c>
    </row>
    <row r="111" spans="13:43" x14ac:dyDescent="0.2">
      <c r="M111" s="51">
        <v>0.2</v>
      </c>
      <c r="N111">
        <v>18</v>
      </c>
      <c r="O111">
        <v>60.921377775304201</v>
      </c>
      <c r="P111">
        <v>61.085270797758895</v>
      </c>
      <c r="Q111">
        <v>61.249163820213603</v>
      </c>
      <c r="R111">
        <v>61.413056842668311</v>
      </c>
      <c r="S111">
        <v>61.576949865123005</v>
      </c>
      <c r="T111">
        <v>61.740842887577699</v>
      </c>
      <c r="U111">
        <v>61.904735910032407</v>
      </c>
      <c r="V111">
        <v>62.068628932487101</v>
      </c>
      <c r="W111">
        <v>62.232521954941802</v>
      </c>
      <c r="X111">
        <v>62.396414977396503</v>
      </c>
      <c r="Y111">
        <v>62.560307999851197</v>
      </c>
      <c r="Z111">
        <v>62.724201022305898</v>
      </c>
      <c r="AA111">
        <v>62.888094044760606</v>
      </c>
      <c r="AB111">
        <v>63.051987067215293</v>
      </c>
      <c r="AC111">
        <v>63.215880089670001</v>
      </c>
      <c r="AD111">
        <v>63.379773112124695</v>
      </c>
      <c r="AE111">
        <v>63.543666134579396</v>
      </c>
      <c r="AF111">
        <v>63.707559157034098</v>
      </c>
      <c r="AG111">
        <v>63.871452179488799</v>
      </c>
      <c r="AH111">
        <v>64.0353452019435</v>
      </c>
      <c r="AI111">
        <v>64.199238224398201</v>
      </c>
      <c r="AJ111">
        <v>64.363131246852902</v>
      </c>
      <c r="AK111">
        <v>64.527024269307603</v>
      </c>
      <c r="AL111">
        <v>64.690917291762304</v>
      </c>
      <c r="AM111">
        <v>64.854810314217005</v>
      </c>
      <c r="AN111">
        <v>65.018703336671706</v>
      </c>
      <c r="AO111">
        <v>65.182596359126393</v>
      </c>
      <c r="AP111">
        <v>65.346489381581108</v>
      </c>
      <c r="AQ111">
        <v>65.510382404035809</v>
      </c>
    </row>
    <row r="112" spans="13:43" x14ac:dyDescent="0.2">
      <c r="M112" s="50">
        <v>0.15</v>
      </c>
      <c r="N112">
        <v>17.25</v>
      </c>
      <c r="O112">
        <v>60.054598308333965</v>
      </c>
      <c r="P112">
        <v>60.172396418223272</v>
      </c>
      <c r="Q112">
        <v>60.290194528112593</v>
      </c>
      <c r="R112">
        <v>60.4079926380019</v>
      </c>
      <c r="S112">
        <v>60.525790747891214</v>
      </c>
      <c r="T112">
        <v>60.643588857780536</v>
      </c>
      <c r="U112">
        <v>60.76138696766985</v>
      </c>
      <c r="V112">
        <v>60.879185077559157</v>
      </c>
      <c r="W112">
        <v>60.996983187448485</v>
      </c>
      <c r="X112">
        <v>61.1147812973378</v>
      </c>
      <c r="Y112">
        <v>61.232579407227114</v>
      </c>
      <c r="Z112">
        <v>61.350377517116428</v>
      </c>
      <c r="AA112">
        <v>61.468175627005749</v>
      </c>
      <c r="AB112">
        <v>61.585973736895056</v>
      </c>
      <c r="AC112">
        <v>61.703771846784377</v>
      </c>
      <c r="AD112">
        <v>61.821569956673692</v>
      </c>
      <c r="AE112">
        <v>61.939368066562992</v>
      </c>
      <c r="AF112">
        <v>62.05716617645232</v>
      </c>
      <c r="AG112">
        <v>62.174964286341634</v>
      </c>
      <c r="AH112">
        <v>62.292762396230955</v>
      </c>
      <c r="AI112">
        <v>62.410560506120277</v>
      </c>
      <c r="AJ112">
        <v>62.528358616009584</v>
      </c>
      <c r="AK112">
        <v>62.646156725898905</v>
      </c>
      <c r="AL112">
        <v>62.763954835788212</v>
      </c>
      <c r="AM112">
        <v>62.881752945677533</v>
      </c>
      <c r="AN112">
        <v>62.999551055566847</v>
      </c>
      <c r="AO112">
        <v>63.117349165456154</v>
      </c>
      <c r="AP112">
        <v>63.235147275345483</v>
      </c>
      <c r="AQ112">
        <v>63.35294538523479</v>
      </c>
    </row>
    <row r="113" spans="13:43" x14ac:dyDescent="0.2">
      <c r="M113" s="51">
        <v>0.1</v>
      </c>
      <c r="N113">
        <v>16.5</v>
      </c>
      <c r="O113">
        <v>59.042461339305675</v>
      </c>
      <c r="P113">
        <v>59.117578974597407</v>
      </c>
      <c r="Q113">
        <v>59.192696609889154</v>
      </c>
      <c r="R113">
        <v>59.267814245180887</v>
      </c>
      <c r="S113">
        <v>59.342931880472626</v>
      </c>
      <c r="T113">
        <v>59.418049515764366</v>
      </c>
      <c r="U113">
        <v>59.493167151056099</v>
      </c>
      <c r="V113">
        <v>59.568284786347839</v>
      </c>
      <c r="W113">
        <v>59.643402421639593</v>
      </c>
      <c r="X113">
        <v>59.718520056931311</v>
      </c>
      <c r="Y113">
        <v>59.793637692223044</v>
      </c>
      <c r="Z113">
        <v>59.868755327514791</v>
      </c>
      <c r="AA113">
        <v>59.943872962806523</v>
      </c>
      <c r="AB113">
        <v>60.018990598098263</v>
      </c>
      <c r="AC113">
        <v>60.094108233390003</v>
      </c>
      <c r="AD113">
        <v>60.169225868681735</v>
      </c>
      <c r="AE113">
        <v>60.244343503973475</v>
      </c>
      <c r="AF113">
        <v>60.319461139265215</v>
      </c>
      <c r="AG113">
        <v>60.394578774556948</v>
      </c>
      <c r="AH113">
        <v>60.469696409848694</v>
      </c>
      <c r="AI113">
        <v>60.544814045140427</v>
      </c>
      <c r="AJ113">
        <v>60.61993168043216</v>
      </c>
      <c r="AK113">
        <v>60.695049315723892</v>
      </c>
      <c r="AL113">
        <v>60.770166951015639</v>
      </c>
      <c r="AM113">
        <v>60.845284586307379</v>
      </c>
      <c r="AN113">
        <v>60.920402221599112</v>
      </c>
      <c r="AO113">
        <v>60.995519856890851</v>
      </c>
      <c r="AP113">
        <v>61.070637492182591</v>
      </c>
      <c r="AQ113">
        <v>61.145755127474324</v>
      </c>
    </row>
    <row r="114" spans="13:43" x14ac:dyDescent="0.2">
      <c r="M114" s="50">
        <v>0.05</v>
      </c>
      <c r="N114">
        <v>15.75</v>
      </c>
      <c r="O114">
        <v>57.884966868219351</v>
      </c>
      <c r="P114">
        <v>57.920818466881329</v>
      </c>
      <c r="Q114">
        <v>57.956670065543285</v>
      </c>
      <c r="R114">
        <v>57.992521664205256</v>
      </c>
      <c r="S114">
        <v>58.02837326286722</v>
      </c>
      <c r="T114">
        <v>58.064224861529176</v>
      </c>
      <c r="U114">
        <v>58.100076460191147</v>
      </c>
      <c r="V114">
        <v>58.135928058853125</v>
      </c>
      <c r="W114">
        <v>58.171779657515081</v>
      </c>
      <c r="X114">
        <v>58.207631256177052</v>
      </c>
      <c r="Y114">
        <v>58.243482854839016</v>
      </c>
      <c r="Z114">
        <v>58.279334453500972</v>
      </c>
      <c r="AA114">
        <v>58.31518605216295</v>
      </c>
      <c r="AB114">
        <v>58.351037650824914</v>
      </c>
      <c r="AC114">
        <v>58.386889249486885</v>
      </c>
      <c r="AD114">
        <v>58.422740848148841</v>
      </c>
      <c r="AE114">
        <v>58.458592446810812</v>
      </c>
      <c r="AF114">
        <v>58.494444045472775</v>
      </c>
      <c r="AG114">
        <v>58.530295644134739</v>
      </c>
      <c r="AH114">
        <v>58.56614724279671</v>
      </c>
      <c r="AI114">
        <v>58.601998841458659</v>
      </c>
      <c r="AJ114">
        <v>58.63785044012063</v>
      </c>
      <c r="AK114">
        <v>58.673702038782608</v>
      </c>
      <c r="AL114">
        <v>58.709553637444571</v>
      </c>
      <c r="AM114">
        <v>58.745405236106528</v>
      </c>
      <c r="AN114">
        <v>58.781256834768499</v>
      </c>
      <c r="AO114">
        <v>58.817108433430469</v>
      </c>
      <c r="AP114">
        <v>58.852960032092426</v>
      </c>
      <c r="AQ114">
        <v>58.88881163075439</v>
      </c>
    </row>
    <row r="115" spans="13:43" x14ac:dyDescent="0.2">
      <c r="M115" s="51">
        <v>0</v>
      </c>
      <c r="N115" s="24">
        <v>15</v>
      </c>
      <c r="O115">
        <v>56.582114895074994</v>
      </c>
      <c r="P115">
        <v>56.582114895074994</v>
      </c>
      <c r="Q115">
        <v>56.582114895074994</v>
      </c>
      <c r="R115">
        <v>56.582114895074994</v>
      </c>
      <c r="S115">
        <v>56.582114895074994</v>
      </c>
      <c r="T115">
        <v>56.582114895074994</v>
      </c>
      <c r="U115">
        <v>56.582114895074994</v>
      </c>
      <c r="V115">
        <v>56.582114895074994</v>
      </c>
      <c r="W115">
        <v>56.582114895074994</v>
      </c>
      <c r="X115">
        <v>56.582114895074994</v>
      </c>
      <c r="Y115">
        <v>56.582114895074994</v>
      </c>
      <c r="Z115">
        <v>56.582114895074994</v>
      </c>
      <c r="AA115">
        <v>56.582114895074994</v>
      </c>
      <c r="AB115">
        <v>56.582114895074994</v>
      </c>
      <c r="AC115">
        <v>56.582114895074994</v>
      </c>
      <c r="AD115">
        <v>56.582114895074994</v>
      </c>
      <c r="AE115">
        <v>56.582114895074994</v>
      </c>
      <c r="AF115">
        <v>56.582114895074994</v>
      </c>
      <c r="AG115">
        <v>56.582114895074994</v>
      </c>
      <c r="AH115">
        <v>56.582114895074994</v>
      </c>
      <c r="AI115">
        <v>56.582114895074994</v>
      </c>
      <c r="AJ115">
        <v>56.582114895074994</v>
      </c>
      <c r="AK115">
        <v>56.582114895074994</v>
      </c>
      <c r="AL115">
        <v>56.582114895074994</v>
      </c>
      <c r="AM115">
        <v>56.582114895074994</v>
      </c>
      <c r="AN115">
        <v>56.582114895074994</v>
      </c>
      <c r="AO115">
        <v>56.582114895074994</v>
      </c>
      <c r="AP115">
        <v>56.582114895074994</v>
      </c>
      <c r="AQ115">
        <v>56.582114895074994</v>
      </c>
    </row>
    <row r="116" spans="13:43" x14ac:dyDescent="0.2">
      <c r="M116" s="51">
        <v>-4.9999999999998997E-2</v>
      </c>
      <c r="N116">
        <v>14.250000000000014</v>
      </c>
      <c r="O116">
        <v>55.133905419872626</v>
      </c>
      <c r="P116">
        <v>55.101468259178482</v>
      </c>
      <c r="Q116">
        <v>55.069031098484317</v>
      </c>
      <c r="R116">
        <v>55.036593937790151</v>
      </c>
      <c r="S116">
        <v>55.004156777096</v>
      </c>
      <c r="T116">
        <v>54.971719616401835</v>
      </c>
      <c r="U116">
        <v>54.939282455707676</v>
      </c>
      <c r="V116">
        <v>54.906845295013525</v>
      </c>
      <c r="W116">
        <v>54.874408134319367</v>
      </c>
      <c r="X116">
        <v>54.841970973625202</v>
      </c>
      <c r="Y116">
        <v>54.809533812931051</v>
      </c>
      <c r="Z116">
        <v>54.777096652236885</v>
      </c>
      <c r="AA116">
        <v>54.74465949154272</v>
      </c>
      <c r="AB116">
        <v>54.712222330848569</v>
      </c>
      <c r="AC116">
        <v>54.67978517015441</v>
      </c>
      <c r="AD116">
        <v>54.647348009460245</v>
      </c>
      <c r="AE116">
        <v>54.614910848766101</v>
      </c>
      <c r="AF116">
        <v>54.582473688071936</v>
      </c>
      <c r="AG116">
        <v>54.55003652737777</v>
      </c>
      <c r="AH116">
        <v>54.517599366683626</v>
      </c>
      <c r="AI116">
        <v>54.485162205989461</v>
      </c>
      <c r="AJ116">
        <v>54.452725045295296</v>
      </c>
      <c r="AK116">
        <v>54.420287884601137</v>
      </c>
      <c r="AL116">
        <v>54.387850723906986</v>
      </c>
      <c r="AM116">
        <v>54.355413563212821</v>
      </c>
      <c r="AN116">
        <v>54.322976402518663</v>
      </c>
      <c r="AO116">
        <v>54.290539241824504</v>
      </c>
      <c r="AP116">
        <v>54.258102081130346</v>
      </c>
      <c r="AQ116">
        <v>54.225664920436188</v>
      </c>
    </row>
    <row r="117" spans="13:43" x14ac:dyDescent="0.2">
      <c r="M117" s="50">
        <v>-9.9999999999999103E-2</v>
      </c>
      <c r="N117">
        <v>13.500000000000014</v>
      </c>
      <c r="O117">
        <v>53.54033844261221</v>
      </c>
      <c r="P117">
        <v>53.478878559191699</v>
      </c>
      <c r="Q117">
        <v>53.417418675771174</v>
      </c>
      <c r="R117">
        <v>53.35595879235067</v>
      </c>
      <c r="S117">
        <v>53.294498908930152</v>
      </c>
      <c r="T117">
        <v>53.233039025509648</v>
      </c>
      <c r="U117">
        <v>53.171579142089129</v>
      </c>
      <c r="V117">
        <v>53.110119258668625</v>
      </c>
      <c r="W117">
        <v>53.048659375248107</v>
      </c>
      <c r="X117">
        <v>52.987199491827596</v>
      </c>
      <c r="Y117">
        <v>52.925739608407085</v>
      </c>
      <c r="Z117">
        <v>52.864279724986574</v>
      </c>
      <c r="AA117">
        <v>52.80281984156607</v>
      </c>
      <c r="AB117">
        <v>52.741359958145544</v>
      </c>
      <c r="AC117">
        <v>52.67990007472504</v>
      </c>
      <c r="AD117">
        <v>52.618440191304522</v>
      </c>
      <c r="AE117">
        <v>52.556980307884018</v>
      </c>
      <c r="AF117">
        <v>52.495520424463493</v>
      </c>
      <c r="AG117">
        <v>52.434060541042989</v>
      </c>
      <c r="AH117">
        <v>52.372600657622478</v>
      </c>
      <c r="AI117">
        <v>52.311140774201967</v>
      </c>
      <c r="AJ117">
        <v>52.249680890781455</v>
      </c>
      <c r="AK117">
        <v>52.188221007360937</v>
      </c>
      <c r="AL117">
        <v>52.126761123940433</v>
      </c>
      <c r="AM117">
        <v>52.065301240519915</v>
      </c>
      <c r="AN117">
        <v>52.003841357099404</v>
      </c>
      <c r="AO117">
        <v>51.9423814736789</v>
      </c>
      <c r="AP117">
        <v>51.880921590258382</v>
      </c>
      <c r="AQ117">
        <v>51.819461706837878</v>
      </c>
    </row>
    <row r="118" spans="13:43" x14ac:dyDescent="0.2">
      <c r="M118" s="51">
        <v>-0.149999999999999</v>
      </c>
      <c r="N118">
        <v>12.750000000000014</v>
      </c>
      <c r="O118">
        <v>51.80141396329374</v>
      </c>
      <c r="P118">
        <v>51.714345795114681</v>
      </c>
      <c r="Q118">
        <v>51.627277626935616</v>
      </c>
      <c r="R118">
        <v>51.540209458756564</v>
      </c>
      <c r="S118">
        <v>51.453141290577506</v>
      </c>
      <c r="T118">
        <v>51.36607312239844</v>
      </c>
      <c r="U118">
        <v>51.279004954219388</v>
      </c>
      <c r="V118">
        <v>51.191936786040323</v>
      </c>
      <c r="W118">
        <v>51.104868617861278</v>
      </c>
      <c r="X118">
        <v>51.017800449682213</v>
      </c>
      <c r="Y118">
        <v>50.930732281503147</v>
      </c>
      <c r="Z118">
        <v>50.843664113324095</v>
      </c>
      <c r="AA118">
        <v>50.756595945145037</v>
      </c>
      <c r="AB118">
        <v>50.669527776965971</v>
      </c>
      <c r="AC118">
        <v>50.58245960878692</v>
      </c>
      <c r="AD118">
        <v>50.495391440607854</v>
      </c>
      <c r="AE118">
        <v>50.408323272428802</v>
      </c>
      <c r="AF118">
        <v>50.321255104249744</v>
      </c>
      <c r="AG118">
        <v>50.234186936070678</v>
      </c>
      <c r="AH118">
        <v>50.147118767891627</v>
      </c>
      <c r="AI118">
        <v>50.060050599712568</v>
      </c>
      <c r="AJ118">
        <v>49.972982431533502</v>
      </c>
      <c r="AK118">
        <v>49.885914263354437</v>
      </c>
      <c r="AL118">
        <v>49.798846095175392</v>
      </c>
      <c r="AM118">
        <v>49.711777926996326</v>
      </c>
      <c r="AN118">
        <v>49.624709758817268</v>
      </c>
      <c r="AO118">
        <v>49.537641590638209</v>
      </c>
      <c r="AP118">
        <v>49.450573422459144</v>
      </c>
      <c r="AQ118">
        <v>49.363505254280092</v>
      </c>
    </row>
    <row r="119" spans="13:43" x14ac:dyDescent="0.2">
      <c r="M119" s="50">
        <v>-0.19999999999999901</v>
      </c>
      <c r="N119">
        <v>12.000000000000014</v>
      </c>
      <c r="O119">
        <v>49.917131981917237</v>
      </c>
      <c r="P119">
        <v>49.807869966947436</v>
      </c>
      <c r="Q119">
        <v>49.698607951977635</v>
      </c>
      <c r="R119">
        <v>49.589345937007835</v>
      </c>
      <c r="S119">
        <v>49.480083922038034</v>
      </c>
      <c r="T119">
        <v>49.370821907068233</v>
      </c>
      <c r="U119">
        <v>49.261559892098433</v>
      </c>
      <c r="V119">
        <v>49.152297877128632</v>
      </c>
      <c r="W119">
        <v>49.043035862158845</v>
      </c>
      <c r="X119">
        <v>48.933773847189038</v>
      </c>
      <c r="Y119">
        <v>48.824511832219237</v>
      </c>
      <c r="Z119">
        <v>48.715249817249443</v>
      </c>
      <c r="AA119">
        <v>48.605987802279643</v>
      </c>
      <c r="AB119">
        <v>48.496725787309849</v>
      </c>
      <c r="AC119">
        <v>48.387463772340041</v>
      </c>
      <c r="AD119">
        <v>48.278201757370255</v>
      </c>
      <c r="AE119">
        <v>48.16893974240044</v>
      </c>
      <c r="AF119">
        <v>48.059677727430646</v>
      </c>
      <c r="AG119">
        <v>47.950415712460838</v>
      </c>
      <c r="AH119">
        <v>47.841153697491045</v>
      </c>
      <c r="AI119">
        <v>47.731891682521251</v>
      </c>
      <c r="AJ119">
        <v>47.62262966755145</v>
      </c>
      <c r="AK119">
        <v>47.513367652581643</v>
      </c>
      <c r="AL119">
        <v>47.404105637611842</v>
      </c>
      <c r="AM119">
        <v>47.294843622642041</v>
      </c>
      <c r="AN119">
        <v>47.185581607672241</v>
      </c>
      <c r="AO119">
        <v>47.076319592702454</v>
      </c>
      <c r="AP119">
        <v>46.967057577732653</v>
      </c>
      <c r="AQ119">
        <v>46.857795562762838</v>
      </c>
    </row>
    <row r="120" spans="13:43" x14ac:dyDescent="0.2">
      <c r="M120" s="51">
        <v>-0.249999999999999</v>
      </c>
      <c r="N120">
        <v>11.250000000000014</v>
      </c>
      <c r="O120">
        <v>47.887492498482693</v>
      </c>
      <c r="P120">
        <v>47.759451074689963</v>
      </c>
      <c r="Q120">
        <v>47.631409650897233</v>
      </c>
      <c r="R120">
        <v>47.503368227104488</v>
      </c>
      <c r="S120">
        <v>47.375326803311765</v>
      </c>
      <c r="T120">
        <v>47.247285379519028</v>
      </c>
      <c r="U120">
        <v>47.119243955726297</v>
      </c>
      <c r="V120">
        <v>46.991202531933553</v>
      </c>
      <c r="W120">
        <v>46.863161108140829</v>
      </c>
      <c r="X120">
        <v>46.735119684348085</v>
      </c>
      <c r="Y120">
        <v>46.607078260555355</v>
      </c>
      <c r="Z120">
        <v>46.479036836762631</v>
      </c>
      <c r="AA120">
        <v>46.350995412969894</v>
      </c>
      <c r="AB120">
        <v>46.222953989177157</v>
      </c>
      <c r="AC120">
        <v>46.094912565384419</v>
      </c>
      <c r="AD120">
        <v>45.966871141591696</v>
      </c>
      <c r="AE120">
        <v>45.838829717798944</v>
      </c>
      <c r="AF120">
        <v>45.710788294006221</v>
      </c>
      <c r="AG120">
        <v>45.582746870213484</v>
      </c>
      <c r="AH120">
        <v>45.45470544642076</v>
      </c>
      <c r="AI120">
        <v>45.326664022628023</v>
      </c>
      <c r="AJ120">
        <v>45.198622598835279</v>
      </c>
      <c r="AK120">
        <v>45.070581175042548</v>
      </c>
      <c r="AL120">
        <v>44.942539751249804</v>
      </c>
      <c r="AM120">
        <v>44.814498327457073</v>
      </c>
      <c r="AN120">
        <v>44.686456903664343</v>
      </c>
      <c r="AO120">
        <v>44.558415479871613</v>
      </c>
      <c r="AP120">
        <v>44.430374056078875</v>
      </c>
      <c r="AQ120">
        <v>44.302332632286145</v>
      </c>
    </row>
    <row r="121" spans="13:43" x14ac:dyDescent="0.2">
      <c r="M121" s="50">
        <v>-0.29999999999999899</v>
      </c>
      <c r="N121">
        <v>10.500000000000016</v>
      </c>
      <c r="O121">
        <v>45.712495512990117</v>
      </c>
      <c r="P121">
        <v>45.569089118342269</v>
      </c>
      <c r="Q121">
        <v>45.425682723694408</v>
      </c>
      <c r="R121">
        <v>45.282276329046539</v>
      </c>
      <c r="S121">
        <v>45.138869934398677</v>
      </c>
      <c r="T121">
        <v>44.995463539750808</v>
      </c>
      <c r="U121">
        <v>44.852057145102954</v>
      </c>
      <c r="V121">
        <v>44.708650750455085</v>
      </c>
      <c r="W121">
        <v>44.565244355807231</v>
      </c>
      <c r="X121">
        <v>44.421837961159369</v>
      </c>
      <c r="Y121">
        <v>44.2784315665115</v>
      </c>
      <c r="Z121">
        <v>44.135025171863646</v>
      </c>
      <c r="AA121">
        <v>43.991618777215777</v>
      </c>
      <c r="AB121">
        <v>43.848212382567922</v>
      </c>
      <c r="AC121">
        <v>43.704805987920054</v>
      </c>
      <c r="AD121">
        <v>43.561399593272192</v>
      </c>
      <c r="AE121">
        <v>43.41799319862433</v>
      </c>
      <c r="AF121">
        <v>43.274586803976476</v>
      </c>
      <c r="AG121">
        <v>43.131180409328607</v>
      </c>
      <c r="AH121">
        <v>42.987774014680745</v>
      </c>
      <c r="AI121">
        <v>42.844367620032884</v>
      </c>
      <c r="AJ121">
        <v>42.700961225385022</v>
      </c>
      <c r="AK121">
        <v>42.557554830737161</v>
      </c>
      <c r="AL121">
        <v>42.414148436089292</v>
      </c>
      <c r="AM121">
        <v>42.27074204144143</v>
      </c>
      <c r="AN121">
        <v>42.127335646793568</v>
      </c>
      <c r="AO121">
        <v>41.983929252145707</v>
      </c>
      <c r="AP121">
        <v>41.840522857497845</v>
      </c>
      <c r="AQ121">
        <v>41.697116462849991</v>
      </c>
    </row>
    <row r="122" spans="13:43" x14ac:dyDescent="0.2">
      <c r="M122" s="51">
        <v>-0.35</v>
      </c>
      <c r="N122">
        <v>9.75</v>
      </c>
      <c r="O122">
        <v>43.392141025439457</v>
      </c>
      <c r="P122">
        <v>43.236784097904277</v>
      </c>
      <c r="Q122">
        <v>43.081427170369082</v>
      </c>
      <c r="R122">
        <v>42.926070242833909</v>
      </c>
      <c r="S122">
        <v>42.770713315298721</v>
      </c>
      <c r="T122">
        <v>42.615356387763541</v>
      </c>
      <c r="U122">
        <v>42.459999460228353</v>
      </c>
      <c r="V122">
        <v>42.304642532693165</v>
      </c>
      <c r="W122">
        <v>42.149285605157985</v>
      </c>
      <c r="X122">
        <v>41.993928677622804</v>
      </c>
      <c r="Y122">
        <v>41.83857175008761</v>
      </c>
      <c r="Z122">
        <v>41.683214822552429</v>
      </c>
      <c r="AA122">
        <v>41.527857895017249</v>
      </c>
      <c r="AB122">
        <v>41.372500967482061</v>
      </c>
      <c r="AC122">
        <v>41.217144039946881</v>
      </c>
      <c r="AD122">
        <v>41.061787112411693</v>
      </c>
      <c r="AE122">
        <v>40.906430184876506</v>
      </c>
      <c r="AF122">
        <v>40.751073257341325</v>
      </c>
      <c r="AG122">
        <v>40.595716329806152</v>
      </c>
      <c r="AH122">
        <v>40.44035940227095</v>
      </c>
      <c r="AI122">
        <v>40.285002474735776</v>
      </c>
      <c r="AJ122">
        <v>40.129645547200589</v>
      </c>
      <c r="AK122">
        <v>39.974288619665401</v>
      </c>
      <c r="AL122">
        <v>39.818931692130221</v>
      </c>
      <c r="AM122">
        <v>39.66357476459504</v>
      </c>
      <c r="AN122">
        <v>39.508217837059853</v>
      </c>
      <c r="AO122">
        <v>39.352860909524665</v>
      </c>
      <c r="AP122">
        <v>39.197503981989485</v>
      </c>
      <c r="AQ122">
        <v>39.042147054454297</v>
      </c>
    </row>
    <row r="123" spans="13:43" x14ac:dyDescent="0.2">
      <c r="M123" s="50">
        <v>-0.4</v>
      </c>
      <c r="N123">
        <v>9</v>
      </c>
      <c r="O123">
        <v>40.926429035830807</v>
      </c>
      <c r="P123">
        <v>40.762536013376106</v>
      </c>
      <c r="Q123">
        <v>40.598642990921405</v>
      </c>
      <c r="R123">
        <v>40.434749968466704</v>
      </c>
      <c r="S123">
        <v>40.270856946012003</v>
      </c>
      <c r="T123">
        <v>40.106963923557302</v>
      </c>
      <c r="U123">
        <v>39.943070901102601</v>
      </c>
      <c r="V123">
        <v>39.7791778786479</v>
      </c>
      <c r="W123">
        <v>39.615284856193206</v>
      </c>
      <c r="X123">
        <v>39.451391833738505</v>
      </c>
      <c r="Y123">
        <v>39.287498811283797</v>
      </c>
      <c r="Z123">
        <v>39.123605788829103</v>
      </c>
      <c r="AA123">
        <v>38.959712766374402</v>
      </c>
      <c r="AB123">
        <v>38.795819743919708</v>
      </c>
      <c r="AC123">
        <v>38.631926721465007</v>
      </c>
      <c r="AD123">
        <v>38.468033699010306</v>
      </c>
      <c r="AE123">
        <v>38.304140676555605</v>
      </c>
      <c r="AF123">
        <v>38.140247654100904</v>
      </c>
      <c r="AG123">
        <v>37.97635463164621</v>
      </c>
      <c r="AH123">
        <v>37.812461609191509</v>
      </c>
      <c r="AI123">
        <v>37.648568586736808</v>
      </c>
      <c r="AJ123">
        <v>37.484675564282099</v>
      </c>
      <c r="AK123">
        <v>37.320782541827413</v>
      </c>
      <c r="AL123">
        <v>37.156889519372704</v>
      </c>
      <c r="AM123">
        <v>36.992996496918003</v>
      </c>
      <c r="AN123">
        <v>36.829103474463302</v>
      </c>
      <c r="AO123">
        <v>36.665210452008608</v>
      </c>
      <c r="AP123">
        <v>36.5013174295539</v>
      </c>
      <c r="AQ123">
        <v>36.337424407099199</v>
      </c>
    </row>
    <row r="124" spans="13:43" x14ac:dyDescent="0.2">
      <c r="M124" s="51">
        <v>-0.45</v>
      </c>
      <c r="N124">
        <v>8.25</v>
      </c>
      <c r="O124">
        <v>38.31535954416411</v>
      </c>
      <c r="P124">
        <v>38.146344864757694</v>
      </c>
      <c r="Q124">
        <v>37.977330185351285</v>
      </c>
      <c r="R124">
        <v>37.808315505944876</v>
      </c>
      <c r="S124">
        <v>37.639300826538474</v>
      </c>
      <c r="T124">
        <v>37.470286147132057</v>
      </c>
      <c r="U124">
        <v>37.301271467725655</v>
      </c>
      <c r="V124">
        <v>37.132256788319246</v>
      </c>
      <c r="W124">
        <v>36.963242108912837</v>
      </c>
      <c r="X124">
        <v>36.794227429506421</v>
      </c>
      <c r="Y124">
        <v>36.625212750100012</v>
      </c>
      <c r="Z124">
        <v>36.456198070693603</v>
      </c>
      <c r="AA124">
        <v>36.287183391287194</v>
      </c>
      <c r="AB124">
        <v>36.118168711880791</v>
      </c>
      <c r="AC124">
        <v>35.949154032474375</v>
      </c>
      <c r="AD124">
        <v>35.780139353067973</v>
      </c>
      <c r="AE124">
        <v>35.611124673661564</v>
      </c>
      <c r="AF124">
        <v>35.442109994255148</v>
      </c>
      <c r="AG124">
        <v>35.273095314848746</v>
      </c>
      <c r="AH124">
        <v>35.10408063544233</v>
      </c>
      <c r="AI124">
        <v>34.935065956035928</v>
      </c>
      <c r="AJ124">
        <v>34.766051276629511</v>
      </c>
      <c r="AK124">
        <v>34.597036597223102</v>
      </c>
      <c r="AL124">
        <v>34.428021917816693</v>
      </c>
      <c r="AM124">
        <v>34.259007238410291</v>
      </c>
      <c r="AN124">
        <v>34.089992559003875</v>
      </c>
      <c r="AO124">
        <v>33.920977879597473</v>
      </c>
      <c r="AP124">
        <v>33.751963200191049</v>
      </c>
      <c r="AQ124">
        <v>33.582948520784647</v>
      </c>
    </row>
    <row r="125" spans="13:43" x14ac:dyDescent="0.2">
      <c r="M125" s="50">
        <v>-0.5</v>
      </c>
      <c r="N125">
        <v>7.5</v>
      </c>
      <c r="O125">
        <v>35.55893255043938</v>
      </c>
      <c r="P125">
        <v>35.388210652049068</v>
      </c>
      <c r="Q125">
        <v>35.217488753658749</v>
      </c>
      <c r="R125">
        <v>35.046766855268437</v>
      </c>
      <c r="S125">
        <v>34.876044956878133</v>
      </c>
      <c r="T125">
        <v>34.705323058487814</v>
      </c>
      <c r="U125">
        <v>34.534601160097502</v>
      </c>
      <c r="V125">
        <v>34.36387926170719</v>
      </c>
      <c r="W125">
        <v>34.193157363316878</v>
      </c>
      <c r="X125">
        <v>34.022435464926566</v>
      </c>
      <c r="Y125">
        <v>33.851713566536255</v>
      </c>
      <c r="Z125">
        <v>33.680991668145943</v>
      </c>
      <c r="AA125">
        <v>33.510269769755631</v>
      </c>
      <c r="AB125">
        <v>33.339547871365319</v>
      </c>
      <c r="AC125">
        <v>33.168825972975</v>
      </c>
      <c r="AD125">
        <v>32.998104074584695</v>
      </c>
      <c r="AE125">
        <v>32.827382176194384</v>
      </c>
      <c r="AF125">
        <v>32.656660277804072</v>
      </c>
      <c r="AG125">
        <v>32.485938379413753</v>
      </c>
      <c r="AH125">
        <v>32.315216481023441</v>
      </c>
      <c r="AI125">
        <v>32.144494582633129</v>
      </c>
      <c r="AJ125">
        <v>31.973772684242817</v>
      </c>
      <c r="AK125">
        <v>31.803050785852506</v>
      </c>
      <c r="AL125">
        <v>31.632328887462187</v>
      </c>
      <c r="AM125">
        <v>31.461606989071875</v>
      </c>
      <c r="AN125">
        <v>31.290885090681567</v>
      </c>
      <c r="AO125">
        <v>31.120163192291251</v>
      </c>
      <c r="AP125">
        <v>30.949441293900939</v>
      </c>
      <c r="AQ125">
        <v>30.778719395510624</v>
      </c>
    </row>
    <row r="126" spans="13:43" x14ac:dyDescent="0.2">
      <c r="M126" s="51">
        <v>-0.55000000000000004</v>
      </c>
      <c r="N126">
        <v>6.7499999999999991</v>
      </c>
      <c r="O126">
        <v>32.657148054656602</v>
      </c>
      <c r="P126">
        <v>32.488133375250186</v>
      </c>
      <c r="Q126">
        <v>32.319118695843784</v>
      </c>
      <c r="R126">
        <v>32.150104016437375</v>
      </c>
      <c r="S126">
        <v>31.981089337030966</v>
      </c>
      <c r="T126">
        <v>31.812074657624557</v>
      </c>
      <c r="U126">
        <v>31.643059978218151</v>
      </c>
      <c r="V126">
        <v>31.474045298811738</v>
      </c>
      <c r="W126">
        <v>31.305030619405326</v>
      </c>
      <c r="X126">
        <v>31.136015939998916</v>
      </c>
      <c r="Y126">
        <v>30.967001260592511</v>
      </c>
      <c r="Z126">
        <v>30.797986581186098</v>
      </c>
      <c r="AA126">
        <v>30.628971901779689</v>
      </c>
      <c r="AB126">
        <v>30.459957222373276</v>
      </c>
      <c r="AC126">
        <v>30.290942542966874</v>
      </c>
      <c r="AD126">
        <v>30.121927863560465</v>
      </c>
      <c r="AE126">
        <v>29.95291318415406</v>
      </c>
      <c r="AF126">
        <v>29.783898504747647</v>
      </c>
      <c r="AG126">
        <v>29.614883825341238</v>
      </c>
      <c r="AH126">
        <v>29.445869145934825</v>
      </c>
      <c r="AI126">
        <v>29.276854466528423</v>
      </c>
      <c r="AJ126">
        <v>29.107839787122007</v>
      </c>
      <c r="AK126">
        <v>28.938825107715598</v>
      </c>
      <c r="AL126">
        <v>28.769810428309189</v>
      </c>
      <c r="AM126">
        <v>28.60079574890278</v>
      </c>
      <c r="AN126">
        <v>28.43178106949637</v>
      </c>
      <c r="AO126">
        <v>28.262766390089958</v>
      </c>
      <c r="AP126">
        <v>28.093751710683549</v>
      </c>
      <c r="AQ126">
        <v>27.924737031277139</v>
      </c>
    </row>
    <row r="127" spans="13:43" x14ac:dyDescent="0.2">
      <c r="M127" s="50">
        <v>-0.6</v>
      </c>
      <c r="N127">
        <v>6</v>
      </c>
      <c r="O127">
        <v>29.610006056815806</v>
      </c>
      <c r="P127">
        <v>29.446113034361098</v>
      </c>
      <c r="Q127">
        <v>29.2822200119064</v>
      </c>
      <c r="R127">
        <v>29.118326989451695</v>
      </c>
      <c r="S127">
        <v>28.954433966996998</v>
      </c>
      <c r="T127">
        <v>28.790540944542304</v>
      </c>
      <c r="U127">
        <v>28.626647922087599</v>
      </c>
      <c r="V127">
        <v>28.462754899632898</v>
      </c>
      <c r="W127">
        <v>28.298861877178204</v>
      </c>
      <c r="X127">
        <v>28.1349688547235</v>
      </c>
      <c r="Y127">
        <v>27.971075832268795</v>
      </c>
      <c r="Z127">
        <v>27.807182809814098</v>
      </c>
      <c r="AA127">
        <v>27.643289787359404</v>
      </c>
      <c r="AB127">
        <v>27.479396764904699</v>
      </c>
      <c r="AC127">
        <v>27.315503742449998</v>
      </c>
      <c r="AD127">
        <v>27.151610719995304</v>
      </c>
      <c r="AE127">
        <v>26.987717697540603</v>
      </c>
      <c r="AF127">
        <v>26.823824675085909</v>
      </c>
      <c r="AG127">
        <v>26.659931652631204</v>
      </c>
      <c r="AH127">
        <v>26.496038630176507</v>
      </c>
      <c r="AI127">
        <v>26.332145607721806</v>
      </c>
      <c r="AJ127">
        <v>26.168252585267098</v>
      </c>
      <c r="AK127">
        <v>26.004359562812397</v>
      </c>
      <c r="AL127">
        <v>25.840466540357699</v>
      </c>
      <c r="AM127">
        <v>25.676573517903002</v>
      </c>
      <c r="AN127">
        <v>25.512680495448301</v>
      </c>
      <c r="AO127">
        <v>25.348787472993603</v>
      </c>
      <c r="AP127">
        <v>25.184894450538902</v>
      </c>
      <c r="AQ127">
        <v>25.021001428084197</v>
      </c>
    </row>
    <row r="128" spans="13:43" x14ac:dyDescent="0.2">
      <c r="M128" s="51">
        <v>-0.65</v>
      </c>
      <c r="N128">
        <v>5.25</v>
      </c>
      <c r="O128">
        <v>26.417506556916958</v>
      </c>
      <c r="P128">
        <v>26.262149629381774</v>
      </c>
      <c r="Q128">
        <v>26.10679270184659</v>
      </c>
      <c r="R128">
        <v>25.951435774311403</v>
      </c>
      <c r="S128">
        <v>25.796078846776219</v>
      </c>
      <c r="T128">
        <v>25.640721919241034</v>
      </c>
      <c r="U128">
        <v>25.48536499170585</v>
      </c>
      <c r="V128">
        <v>25.330008064170666</v>
      </c>
      <c r="W128">
        <v>25.174651136635479</v>
      </c>
      <c r="X128">
        <v>25.019294209100298</v>
      </c>
      <c r="Y128">
        <v>24.863937281565118</v>
      </c>
      <c r="Z128">
        <v>24.70858035402993</v>
      </c>
      <c r="AA128">
        <v>24.553223426494746</v>
      </c>
      <c r="AB128">
        <v>24.397866498959559</v>
      </c>
      <c r="AC128">
        <v>24.242509571424375</v>
      </c>
      <c r="AD128">
        <v>24.087152643889191</v>
      </c>
      <c r="AE128">
        <v>23.931795716354006</v>
      </c>
      <c r="AF128">
        <v>23.77643878881883</v>
      </c>
      <c r="AG128">
        <v>23.621081861283638</v>
      </c>
      <c r="AH128">
        <v>23.465724933748458</v>
      </c>
      <c r="AI128">
        <v>23.31036800621327</v>
      </c>
      <c r="AJ128">
        <v>23.155011078678083</v>
      </c>
      <c r="AK128">
        <v>22.999654151142902</v>
      </c>
      <c r="AL128">
        <v>22.844297223607715</v>
      </c>
      <c r="AM128">
        <v>22.688940296072534</v>
      </c>
      <c r="AN128">
        <v>22.533583368537347</v>
      </c>
      <c r="AO128">
        <v>22.378226441002159</v>
      </c>
      <c r="AP128">
        <v>22.222869513466978</v>
      </c>
      <c r="AQ128">
        <v>22.067512585931794</v>
      </c>
    </row>
    <row r="129" spans="13:43" x14ac:dyDescent="0.2">
      <c r="M129" s="50">
        <v>-0.7</v>
      </c>
      <c r="N129">
        <v>4.5000000000000009</v>
      </c>
      <c r="O129">
        <v>23.079649554960078</v>
      </c>
      <c r="P129">
        <v>22.936243160312216</v>
      </c>
      <c r="Q129">
        <v>22.792836765664354</v>
      </c>
      <c r="R129">
        <v>22.649430371016493</v>
      </c>
      <c r="S129">
        <v>22.506023976368628</v>
      </c>
      <c r="T129">
        <v>22.362617581720766</v>
      </c>
      <c r="U129">
        <v>22.219211187072904</v>
      </c>
      <c r="V129">
        <v>22.075804792425039</v>
      </c>
      <c r="W129">
        <v>21.932398397777177</v>
      </c>
      <c r="X129">
        <v>21.788992003129316</v>
      </c>
      <c r="Y129">
        <v>21.645585608481451</v>
      </c>
      <c r="Z129">
        <v>21.502179213833593</v>
      </c>
      <c r="AA129">
        <v>21.358772819185734</v>
      </c>
      <c r="AB129">
        <v>21.215366424537866</v>
      </c>
      <c r="AC129">
        <v>21.071960029890004</v>
      </c>
      <c r="AD129">
        <v>20.928553635242142</v>
      </c>
      <c r="AE129">
        <v>20.785147240594281</v>
      </c>
      <c r="AF129">
        <v>20.641740845946423</v>
      </c>
      <c r="AG129">
        <v>20.498334451298554</v>
      </c>
      <c r="AH129">
        <v>20.354928056650692</v>
      </c>
      <c r="AI129">
        <v>20.211521662002831</v>
      </c>
      <c r="AJ129">
        <v>20.068115267354969</v>
      </c>
      <c r="AK129">
        <v>19.924708872707104</v>
      </c>
      <c r="AL129">
        <v>19.781302478059239</v>
      </c>
      <c r="AM129">
        <v>19.63789608341138</v>
      </c>
      <c r="AN129">
        <v>19.494489688763515</v>
      </c>
      <c r="AO129">
        <v>19.351083294115654</v>
      </c>
      <c r="AP129">
        <v>19.207676899467792</v>
      </c>
      <c r="AQ129">
        <v>19.064270504819927</v>
      </c>
    </row>
  </sheetData>
  <mergeCells count="12">
    <mergeCell ref="A46:B46"/>
    <mergeCell ref="D46:G46"/>
    <mergeCell ref="A49:G49"/>
    <mergeCell ref="A51:G57"/>
    <mergeCell ref="A59:G65"/>
    <mergeCell ref="A67:G73"/>
    <mergeCell ref="A1:J1"/>
    <mergeCell ref="A3:D3"/>
    <mergeCell ref="F3:H3"/>
    <mergeCell ref="A20:J20"/>
    <mergeCell ref="A21:G21"/>
    <mergeCell ref="I21:J30"/>
  </mergeCells>
  <conditionalFormatting sqref="Z24:AE28">
    <cfRule type="colorScale" priority="3">
      <colorScale>
        <cfvo type="min"/>
        <cfvo type="max"/>
        <color rgb="FF0F253F"/>
        <color theme="0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AO24:AT28">
    <cfRule type="colorScale" priority="1">
      <colorScale>
        <cfvo type="min"/>
        <cfvo type="max"/>
        <color rgb="FF0F253F"/>
        <color theme="0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pageSetup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2D8A-C7F1-264E-AB62-A3B7E5487868}">
  <dimension ref="A1:AT129"/>
  <sheetViews>
    <sheetView showGridLines="0" zoomScale="125" workbookViewId="0">
      <pane xSplit="2" ySplit="21" topLeftCell="C33" activePane="bottomRight" state="frozen"/>
      <selection pane="topRight"/>
      <selection pane="bottomLeft"/>
      <selection pane="bottomRight" activeCell="E45" sqref="E45"/>
    </sheetView>
  </sheetViews>
  <sheetFormatPr baseColWidth="10" defaultColWidth="8.83203125" defaultRowHeight="15" x14ac:dyDescent="0.2"/>
  <cols>
    <col min="1" max="1" width="25" customWidth="1"/>
    <col min="2" max="2" width="12" customWidth="1"/>
    <col min="3" max="7" width="18.6640625" customWidth="1"/>
    <col min="8" max="9" width="14" customWidth="1"/>
    <col min="10" max="10" width="16" customWidth="1"/>
    <col min="26" max="26" width="8.83203125" customWidth="1"/>
    <col min="40" max="40" width="12.33203125" customWidth="1"/>
    <col min="41" max="46" width="10.1640625" customWidth="1"/>
  </cols>
  <sheetData>
    <row r="1" spans="1:29" ht="17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29" x14ac:dyDescent="0.2">
      <c r="N2" s="1" t="s">
        <v>78</v>
      </c>
      <c r="W2" s="1" t="s">
        <v>79</v>
      </c>
    </row>
    <row r="3" spans="1:29" x14ac:dyDescent="0.2">
      <c r="A3" s="41" t="s">
        <v>1</v>
      </c>
      <c r="B3" s="37"/>
      <c r="C3" s="37"/>
      <c r="D3" s="37"/>
      <c r="F3" s="43" t="s">
        <v>2</v>
      </c>
      <c r="G3" s="43"/>
      <c r="H3" s="43"/>
      <c r="I3" s="21"/>
      <c r="J3" s="21"/>
      <c r="L3" s="25">
        <f>SUM(C32:G32)</f>
        <v>56.582114895074994</v>
      </c>
      <c r="N3" s="51">
        <v>-0.15</v>
      </c>
      <c r="O3" s="51">
        <v>-0.1</v>
      </c>
      <c r="P3" s="51">
        <v>-0.05</v>
      </c>
      <c r="Q3" s="51">
        <v>0</v>
      </c>
      <c r="R3" s="51">
        <v>0.05</v>
      </c>
      <c r="S3" s="51">
        <v>0.1</v>
      </c>
      <c r="T3" s="51">
        <v>0.15</v>
      </c>
      <c r="W3" s="51">
        <v>-0.15</v>
      </c>
      <c r="X3" s="51">
        <v>-0.1</v>
      </c>
      <c r="Y3" s="51">
        <v>-0.05</v>
      </c>
      <c r="Z3" s="51">
        <v>0</v>
      </c>
      <c r="AA3" s="51">
        <v>0.05</v>
      </c>
      <c r="AB3" s="51">
        <v>0.1</v>
      </c>
      <c r="AC3" s="51">
        <v>0.15</v>
      </c>
    </row>
    <row r="4" spans="1:29" x14ac:dyDescent="0.2">
      <c r="A4" s="1" t="s">
        <v>3</v>
      </c>
      <c r="B4" s="2">
        <f>SUM(G12:G13)</f>
        <v>50000000</v>
      </c>
      <c r="C4" s="3" t="s">
        <v>4</v>
      </c>
      <c r="F4" s="1" t="s">
        <v>5</v>
      </c>
      <c r="G4" s="47">
        <v>15</v>
      </c>
      <c r="H4" s="3" t="s">
        <v>6</v>
      </c>
      <c r="M4" s="49">
        <f>L3</f>
        <v>56.582114895074994</v>
      </c>
      <c r="N4" s="23">
        <v>0.42499999999999999</v>
      </c>
      <c r="O4" s="23">
        <v>0.45</v>
      </c>
      <c r="P4" s="23">
        <v>0.47499999999999998</v>
      </c>
      <c r="Q4" s="23">
        <v>0.5</v>
      </c>
      <c r="R4" s="23">
        <v>0.52500000000000002</v>
      </c>
      <c r="S4" s="23">
        <v>0.55000000000000004</v>
      </c>
      <c r="T4" s="23">
        <v>0.57499999999999996</v>
      </c>
      <c r="V4" s="49">
        <f>SUM(C32:G32)</f>
        <v>56.582114895074994</v>
      </c>
      <c r="W4" s="23">
        <v>0.17</v>
      </c>
      <c r="X4" s="23">
        <v>0.18000000000000002</v>
      </c>
      <c r="Y4" s="23">
        <v>0.19</v>
      </c>
      <c r="Z4" s="23">
        <v>0.2</v>
      </c>
      <c r="AA4" s="23">
        <v>0.21000000000000002</v>
      </c>
      <c r="AB4" s="23">
        <v>0.22000000000000003</v>
      </c>
      <c r="AC4" s="23">
        <v>0.22999999999999998</v>
      </c>
    </row>
    <row r="5" spans="1:29" x14ac:dyDescent="0.2">
      <c r="A5" s="1" t="s">
        <v>7</v>
      </c>
      <c r="B5" s="5">
        <f>G18</f>
        <v>21.75</v>
      </c>
      <c r="C5" s="3" t="s">
        <v>6</v>
      </c>
      <c r="F5" s="1" t="s">
        <v>80</v>
      </c>
      <c r="G5" s="4">
        <v>15</v>
      </c>
      <c r="H5" s="3" t="s">
        <v>6</v>
      </c>
      <c r="I5" s="48"/>
      <c r="L5" s="51">
        <v>-0.15</v>
      </c>
      <c r="M5" s="24">
        <v>12.75</v>
      </c>
      <c r="N5" s="24">
        <f t="dataTable" ref="N5:T11" dt2D="1" dtr="1" r1="G10" r2="G5"/>
        <v>50.321255104249701</v>
      </c>
      <c r="O5" s="24">
        <v>50.408323272428753</v>
      </c>
      <c r="P5" s="24">
        <v>50.495391440607818</v>
      </c>
      <c r="Q5" s="24">
        <v>50.582459608786877</v>
      </c>
      <c r="R5" s="24">
        <v>50.669527776965936</v>
      </c>
      <c r="S5" s="24">
        <v>50.756595945144994</v>
      </c>
      <c r="T5" s="24">
        <v>50.843664113324053</v>
      </c>
      <c r="V5" s="24">
        <v>12.75</v>
      </c>
      <c r="W5" s="24">
        <f t="dataTable" ref="W5:AC11" dt2D="1" dtr="1" r1="G11" r2="G5" ca="1"/>
        <v>50.470514821128084</v>
      </c>
      <c r="X5" s="24">
        <v>50.507829750347682</v>
      </c>
      <c r="Y5" s="24">
        <v>50.545144679567279</v>
      </c>
      <c r="Z5" s="24">
        <v>50.582459608786877</v>
      </c>
      <c r="AA5" s="24">
        <v>50.619774538006482</v>
      </c>
      <c r="AB5" s="24">
        <v>50.657089467226065</v>
      </c>
      <c r="AC5" s="24">
        <v>50.694404396445663</v>
      </c>
    </row>
    <row r="6" spans="1:29" x14ac:dyDescent="0.2">
      <c r="A6" s="1" t="s">
        <v>9</v>
      </c>
      <c r="B6" s="7">
        <v>0.98</v>
      </c>
      <c r="C6" s="3"/>
      <c r="F6" s="1" t="s">
        <v>46</v>
      </c>
      <c r="G6" s="6">
        <v>1</v>
      </c>
      <c r="H6" s="3" t="s">
        <v>8</v>
      </c>
      <c r="L6" s="51">
        <v>-0.1</v>
      </c>
      <c r="M6" s="24">
        <v>13.5</v>
      </c>
      <c r="N6" s="24">
        <v>52.495520424463457</v>
      </c>
      <c r="O6" s="24">
        <v>52.556980307883975</v>
      </c>
      <c r="P6" s="24">
        <v>52.618440191304494</v>
      </c>
      <c r="Q6" s="24">
        <v>52.679900074724998</v>
      </c>
      <c r="R6" s="24">
        <v>52.741359958145509</v>
      </c>
      <c r="S6" s="24">
        <v>52.80281984156602</v>
      </c>
      <c r="T6" s="24">
        <v>52.864279724986538</v>
      </c>
      <c r="V6" s="24">
        <v>13.5</v>
      </c>
      <c r="W6" s="24">
        <v>52.600880224612915</v>
      </c>
      <c r="X6" s="24">
        <v>52.627220174650276</v>
      </c>
      <c r="Y6" s="24">
        <v>52.65356012468763</v>
      </c>
      <c r="Z6" s="24">
        <v>52.679900074724998</v>
      </c>
      <c r="AA6" s="24">
        <v>52.706240024762351</v>
      </c>
      <c r="AB6" s="24">
        <v>52.732579974799719</v>
      </c>
      <c r="AC6" s="24">
        <v>52.758919924837073</v>
      </c>
    </row>
    <row r="7" spans="1:29" x14ac:dyDescent="0.2">
      <c r="A7" s="1" t="s">
        <v>10</v>
      </c>
      <c r="B7" s="7">
        <v>0.03</v>
      </c>
      <c r="C7" s="3"/>
      <c r="F7" s="1" t="s">
        <v>43</v>
      </c>
      <c r="G7" s="6">
        <v>2.5</v>
      </c>
      <c r="H7" s="3" t="s">
        <v>8</v>
      </c>
      <c r="L7" s="51">
        <v>-0.05</v>
      </c>
      <c r="M7" s="24">
        <v>14.25</v>
      </c>
      <c r="N7" s="24">
        <v>54.5824736880719</v>
      </c>
      <c r="O7" s="24">
        <v>54.614910848766058</v>
      </c>
      <c r="P7" s="24">
        <v>54.64734800946021</v>
      </c>
      <c r="Q7" s="24">
        <v>54.679785170154375</v>
      </c>
      <c r="R7" s="24">
        <v>54.71222233084854</v>
      </c>
      <c r="S7" s="24">
        <v>54.744659491542691</v>
      </c>
      <c r="T7" s="24">
        <v>54.77709665223685</v>
      </c>
      <c r="V7" s="24">
        <v>14.25</v>
      </c>
      <c r="W7" s="24">
        <v>54.638080249261876</v>
      </c>
      <c r="X7" s="24">
        <v>54.65198188955938</v>
      </c>
      <c r="Y7" s="24">
        <v>54.665883529856885</v>
      </c>
      <c r="Z7" s="24">
        <v>54.679785170154375</v>
      </c>
      <c r="AA7" s="24">
        <v>54.693686810451879</v>
      </c>
      <c r="AB7" s="24">
        <v>54.707588450749356</v>
      </c>
      <c r="AC7" s="24">
        <v>54.721490091046874</v>
      </c>
    </row>
    <row r="8" spans="1:29" x14ac:dyDescent="0.2">
      <c r="A8" s="1" t="s">
        <v>11</v>
      </c>
      <c r="B8" s="9">
        <v>4</v>
      </c>
      <c r="C8" s="3" t="s">
        <v>12</v>
      </c>
      <c r="F8" s="1" t="s">
        <v>76</v>
      </c>
      <c r="G8" s="8">
        <v>35000000</v>
      </c>
      <c r="H8" s="3" t="s">
        <v>4</v>
      </c>
      <c r="L8" s="51">
        <v>0</v>
      </c>
      <c r="M8" s="24">
        <v>15</v>
      </c>
      <c r="N8" s="24">
        <v>56.582114895074994</v>
      </c>
      <c r="O8" s="24">
        <v>56.582114895074994</v>
      </c>
      <c r="P8" s="24">
        <v>56.582114895074994</v>
      </c>
      <c r="Q8" s="24">
        <v>56.582114895074994</v>
      </c>
      <c r="R8" s="24">
        <v>56.582114895074994</v>
      </c>
      <c r="S8" s="24">
        <v>56.582114895074994</v>
      </c>
      <c r="T8" s="24">
        <v>56.582114895074994</v>
      </c>
      <c r="V8" s="24">
        <v>15</v>
      </c>
      <c r="W8" s="24">
        <v>56.582114895074994</v>
      </c>
      <c r="X8" s="24">
        <v>56.582114895074994</v>
      </c>
      <c r="Y8" s="24">
        <v>56.582114895074994</v>
      </c>
      <c r="Z8" s="24">
        <v>56.582114895074994</v>
      </c>
      <c r="AA8" s="24">
        <v>56.582114895074994</v>
      </c>
      <c r="AB8" s="24">
        <v>56.582114895074994</v>
      </c>
      <c r="AC8" s="24">
        <v>56.582114895074994</v>
      </c>
    </row>
    <row r="9" spans="1:29" x14ac:dyDescent="0.2">
      <c r="A9" s="1" t="s">
        <v>13</v>
      </c>
      <c r="B9" s="9">
        <v>1</v>
      </c>
      <c r="C9" s="3" t="s">
        <v>12</v>
      </c>
      <c r="F9" s="1" t="s">
        <v>77</v>
      </c>
      <c r="G9" s="8">
        <v>15000000</v>
      </c>
      <c r="H9" s="3" t="s">
        <v>4</v>
      </c>
      <c r="L9" s="51">
        <v>0.05</v>
      </c>
      <c r="M9" s="24">
        <v>15.75</v>
      </c>
      <c r="N9" s="24">
        <v>58.494444045472775</v>
      </c>
      <c r="O9" s="24">
        <v>58.458592446810812</v>
      </c>
      <c r="P9" s="24">
        <v>58.422740848148841</v>
      </c>
      <c r="Q9" s="24">
        <v>58.386889249486885</v>
      </c>
      <c r="R9" s="24">
        <v>58.351037650824914</v>
      </c>
      <c r="S9" s="24">
        <v>58.31518605216295</v>
      </c>
      <c r="T9" s="24">
        <v>58.279334453500972</v>
      </c>
      <c r="V9" s="24">
        <v>15.75</v>
      </c>
      <c r="W9" s="24">
        <v>58.43298416205225</v>
      </c>
      <c r="X9" s="24">
        <v>58.41761919119714</v>
      </c>
      <c r="Y9" s="24">
        <v>58.402254220341995</v>
      </c>
      <c r="Z9" s="24">
        <v>58.386889249486885</v>
      </c>
      <c r="AA9" s="24">
        <v>58.371524278631739</v>
      </c>
      <c r="AB9" s="24">
        <v>58.356159307776615</v>
      </c>
      <c r="AC9" s="24">
        <v>58.340794336921491</v>
      </c>
    </row>
    <row r="10" spans="1:29" x14ac:dyDescent="0.2">
      <c r="A10" s="1" t="s">
        <v>14</v>
      </c>
      <c r="B10" s="7">
        <v>0.13</v>
      </c>
      <c r="C10" s="3"/>
      <c r="F10" s="1" t="s">
        <v>78</v>
      </c>
      <c r="G10" s="6">
        <v>0.5</v>
      </c>
      <c r="H10" s="3" t="s">
        <v>8</v>
      </c>
      <c r="L10" s="51">
        <v>0.1</v>
      </c>
      <c r="M10" s="24">
        <v>16.5</v>
      </c>
      <c r="N10" s="24">
        <v>60.319461139265215</v>
      </c>
      <c r="O10" s="24">
        <v>60.244343503973475</v>
      </c>
      <c r="P10" s="24">
        <v>60.169225868681742</v>
      </c>
      <c r="Q10" s="24">
        <v>60.094108233390003</v>
      </c>
      <c r="R10" s="24">
        <v>60.018990598098263</v>
      </c>
      <c r="S10" s="24">
        <v>59.943872962806523</v>
      </c>
      <c r="T10" s="24">
        <v>59.868755327514791</v>
      </c>
      <c r="V10" s="24">
        <v>16.5</v>
      </c>
      <c r="W10" s="24">
        <v>60.190688050193657</v>
      </c>
      <c r="X10" s="24">
        <v>60.158494777925775</v>
      </c>
      <c r="Y10" s="24">
        <v>60.126301505657878</v>
      </c>
      <c r="Z10" s="24">
        <v>60.094108233390003</v>
      </c>
      <c r="AA10" s="24">
        <v>60.061914961122113</v>
      </c>
      <c r="AB10" s="24">
        <v>60.029721688854217</v>
      </c>
      <c r="AC10" s="24">
        <v>59.997528416586334</v>
      </c>
    </row>
    <row r="11" spans="1:29" x14ac:dyDescent="0.2">
      <c r="A11" s="1" t="s">
        <v>15</v>
      </c>
      <c r="B11" s="7">
        <v>0.08</v>
      </c>
      <c r="C11" s="3"/>
      <c r="F11" s="1" t="s">
        <v>79</v>
      </c>
      <c r="G11" s="6">
        <v>0.2</v>
      </c>
      <c r="H11" s="3" t="s">
        <v>8</v>
      </c>
      <c r="L11" s="51">
        <v>0.15</v>
      </c>
      <c r="M11" s="24">
        <v>17.25</v>
      </c>
      <c r="N11" s="24">
        <v>62.05716617645232</v>
      </c>
      <c r="O11" s="24">
        <v>61.939368066562992</v>
      </c>
      <c r="P11" s="24">
        <v>61.821569956673692</v>
      </c>
      <c r="Q11" s="24">
        <v>61.703771846784377</v>
      </c>
      <c r="R11" s="24">
        <v>61.585973736895056</v>
      </c>
      <c r="S11" s="24">
        <v>61.468175627005749</v>
      </c>
      <c r="T11" s="24">
        <v>61.350377517116428</v>
      </c>
      <c r="V11" s="24">
        <v>17.25</v>
      </c>
      <c r="W11" s="24">
        <v>61.855226559499222</v>
      </c>
      <c r="X11" s="24">
        <v>61.804741655260933</v>
      </c>
      <c r="Y11" s="24">
        <v>61.754256751022652</v>
      </c>
      <c r="Z11" s="24">
        <v>61.703771846784377</v>
      </c>
      <c r="AA11" s="24">
        <v>61.653286942546103</v>
      </c>
      <c r="AB11" s="24">
        <v>61.602802038307821</v>
      </c>
      <c r="AC11" s="24">
        <v>61.552317134069533</v>
      </c>
    </row>
    <row r="12" spans="1:29" x14ac:dyDescent="0.2">
      <c r="A12" s="1" t="s">
        <v>16</v>
      </c>
      <c r="B12" s="6">
        <v>5</v>
      </c>
      <c r="C12" s="3" t="s">
        <v>17</v>
      </c>
      <c r="F12" s="1" t="s">
        <v>81</v>
      </c>
      <c r="G12" s="2">
        <f>MAX(G8*(1+(-(G5-G4))/G4*G10),0)</f>
        <v>35000000</v>
      </c>
      <c r="H12" s="3" t="s">
        <v>4</v>
      </c>
    </row>
    <row r="13" spans="1:29" x14ac:dyDescent="0.2">
      <c r="A13" s="44"/>
      <c r="B13" s="45"/>
      <c r="C13" s="46"/>
      <c r="F13" s="1" t="s">
        <v>82</v>
      </c>
      <c r="G13" s="2">
        <f>MAX(G9*(1+(G4-G5)/G4*G11),0)</f>
        <v>15000000</v>
      </c>
      <c r="H13" s="3" t="s">
        <v>4</v>
      </c>
    </row>
    <row r="14" spans="1:29" x14ac:dyDescent="0.2">
      <c r="A14" s="44"/>
      <c r="B14" s="45"/>
      <c r="C14" s="46"/>
      <c r="F14" s="1" t="s">
        <v>47</v>
      </c>
      <c r="G14" s="10">
        <f>G12/SUM(G12:G13)</f>
        <v>0.7</v>
      </c>
      <c r="H14" s="3"/>
    </row>
    <row r="15" spans="1:29" x14ac:dyDescent="0.2">
      <c r="A15" s="44"/>
      <c r="B15" s="45"/>
      <c r="C15" s="46"/>
      <c r="F15" s="1" t="s">
        <v>40</v>
      </c>
      <c r="G15" s="10">
        <f>G13/SUM(G12:G13)</f>
        <v>0.3</v>
      </c>
      <c r="H15" s="3"/>
    </row>
    <row r="16" spans="1:29" x14ac:dyDescent="0.2">
      <c r="A16" s="44"/>
      <c r="B16" s="45"/>
      <c r="C16" s="46"/>
      <c r="F16" s="1" t="s">
        <v>48</v>
      </c>
      <c r="G16" s="5">
        <f>G5*G6</f>
        <v>15</v>
      </c>
      <c r="H16" s="3" t="s">
        <v>6</v>
      </c>
    </row>
    <row r="17" spans="1:46" x14ac:dyDescent="0.2">
      <c r="A17" s="44"/>
      <c r="B17" s="45"/>
      <c r="C17" s="46"/>
      <c r="F17" s="1" t="s">
        <v>41</v>
      </c>
      <c r="G17" s="5">
        <f>G5*G7</f>
        <v>37.5</v>
      </c>
      <c r="H17" s="3" t="s">
        <v>6</v>
      </c>
    </row>
    <row r="18" spans="1:46" x14ac:dyDescent="0.2">
      <c r="A18" s="44"/>
      <c r="B18" s="45"/>
      <c r="C18" s="46"/>
      <c r="F18" s="1" t="s">
        <v>18</v>
      </c>
      <c r="G18" s="5">
        <f>SUMPRODUCT(G12:G13,G16:G17)/SUM(G12:G13)</f>
        <v>21.75</v>
      </c>
      <c r="H18" s="3" t="s">
        <v>6</v>
      </c>
    </row>
    <row r="20" spans="1:46" ht="30" customHeight="1" x14ac:dyDescent="0.2">
      <c r="A20" s="40" t="s">
        <v>52</v>
      </c>
      <c r="B20" s="37"/>
      <c r="C20" s="37"/>
      <c r="D20" s="37"/>
      <c r="E20" s="37"/>
      <c r="F20" s="37"/>
      <c r="G20" s="37"/>
      <c r="H20" s="37"/>
      <c r="I20" s="37"/>
      <c r="J20" s="37"/>
    </row>
    <row r="21" spans="1:46" x14ac:dyDescent="0.2">
      <c r="A21" s="41" t="s">
        <v>19</v>
      </c>
      <c r="B21" s="37"/>
      <c r="C21" s="37"/>
      <c r="D21" s="37"/>
      <c r="E21" s="37"/>
      <c r="F21" s="37"/>
      <c r="G21" s="37"/>
      <c r="I21" s="42"/>
      <c r="J21" s="37"/>
    </row>
    <row r="22" spans="1:46" ht="16" thickBot="1" x14ac:dyDescent="0.25">
      <c r="A22" s="11" t="s">
        <v>20</v>
      </c>
      <c r="B22" s="11" t="s">
        <v>21</v>
      </c>
      <c r="C22" s="11">
        <v>2026</v>
      </c>
      <c r="D22" s="11">
        <f>C22+1</f>
        <v>2027</v>
      </c>
      <c r="E22" s="11">
        <f>D22+1</f>
        <v>2028</v>
      </c>
      <c r="F22" s="11">
        <f>E22+1</f>
        <v>2029</v>
      </c>
      <c r="G22" s="11">
        <f>F22+1</f>
        <v>2030</v>
      </c>
      <c r="I22" s="37"/>
      <c r="J22" s="37"/>
    </row>
    <row r="23" spans="1:46" x14ac:dyDescent="0.2">
      <c r="A23" t="s">
        <v>49</v>
      </c>
      <c r="B23" t="s">
        <v>4</v>
      </c>
      <c r="C23" s="12">
        <f>G12</f>
        <v>35000000</v>
      </c>
      <c r="D23" s="12">
        <f>C23*(1+$B$7)</f>
        <v>36050000</v>
      </c>
      <c r="E23" s="12">
        <f t="shared" ref="E23:G23" si="0">D23*(1+$B$7)</f>
        <v>37131500</v>
      </c>
      <c r="F23" s="12">
        <f>E23*(1+$B$7)</f>
        <v>38245445</v>
      </c>
      <c r="G23" s="12">
        <f t="shared" si="0"/>
        <v>39392808.350000001</v>
      </c>
      <c r="I23" s="37"/>
      <c r="J23" s="37"/>
      <c r="L23" t="s">
        <v>62</v>
      </c>
      <c r="R23" s="25">
        <f>C46</f>
        <v>4.256285537142503</v>
      </c>
      <c r="S23">
        <v>0</v>
      </c>
      <c r="T23">
        <v>1</v>
      </c>
      <c r="U23">
        <v>2</v>
      </c>
      <c r="V23">
        <v>3</v>
      </c>
      <c r="W23">
        <v>4</v>
      </c>
      <c r="X23">
        <v>5</v>
      </c>
      <c r="Z23" s="26" t="s">
        <v>75</v>
      </c>
      <c r="AA23" s="26" t="s">
        <v>70</v>
      </c>
      <c r="AB23" s="26" t="s">
        <v>71</v>
      </c>
      <c r="AC23" s="26" t="s">
        <v>72</v>
      </c>
      <c r="AD23" s="26" t="s">
        <v>73</v>
      </c>
      <c r="AE23" s="26" t="s">
        <v>74</v>
      </c>
      <c r="AN23" s="28"/>
      <c r="AO23" s="29" t="s">
        <v>75</v>
      </c>
      <c r="AP23" s="29" t="s">
        <v>70</v>
      </c>
      <c r="AQ23" s="29" t="s">
        <v>71</v>
      </c>
      <c r="AR23" s="29" t="s">
        <v>72</v>
      </c>
      <c r="AS23" s="29" t="s">
        <v>73</v>
      </c>
      <c r="AT23" s="30" t="s">
        <v>74</v>
      </c>
    </row>
    <row r="24" spans="1:46" x14ac:dyDescent="0.2">
      <c r="A24" t="s">
        <v>50</v>
      </c>
      <c r="B24" t="s">
        <v>22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I24" s="37"/>
      <c r="J24" s="37"/>
      <c r="L24" t="s">
        <v>64</v>
      </c>
      <c r="M24" t="s">
        <v>63</v>
      </c>
      <c r="R24" s="25">
        <v>0.1</v>
      </c>
      <c r="S24">
        <f t="dataTable" ref="S24:X28" dt2D="1" dtr="1" r1="M25" r2="L25" ca="1"/>
        <v>4.256285537142503</v>
      </c>
      <c r="T24">
        <v>4.1970747990005668</v>
      </c>
      <c r="U24">
        <v>4.1331272018072758</v>
      </c>
      <c r="V24">
        <v>4.0640637968385214</v>
      </c>
      <c r="W24">
        <v>3.9894753194722661</v>
      </c>
      <c r="X24">
        <v>3.9089197639167108</v>
      </c>
      <c r="Y24" s="26" t="s">
        <v>65</v>
      </c>
      <c r="Z24" s="24" cm="1">
        <f t="array" ref="Z24:AE28">S24:X28</f>
        <v>4.256285537142503</v>
      </c>
      <c r="AA24" s="24">
        <v>4.1970747990005668</v>
      </c>
      <c r="AB24" s="24">
        <v>4.1331272018072758</v>
      </c>
      <c r="AC24" s="24">
        <v>4.0640637968385214</v>
      </c>
      <c r="AD24" s="24">
        <v>3.9894753194722661</v>
      </c>
      <c r="AE24" s="24">
        <v>3.9089197639167108</v>
      </c>
      <c r="AN24" s="31" t="s">
        <v>65</v>
      </c>
      <c r="AO24" s="24">
        <v>21.762910257757106</v>
      </c>
      <c r="AP24" s="24">
        <v>21.703699519615171</v>
      </c>
      <c r="AQ24" s="24">
        <v>21.63975192242188</v>
      </c>
      <c r="AR24" s="24">
        <v>21.570688517453128</v>
      </c>
      <c r="AS24" s="24">
        <v>21.496100040086873</v>
      </c>
      <c r="AT24" s="32">
        <v>21.415544484531317</v>
      </c>
    </row>
    <row r="25" spans="1:46" x14ac:dyDescent="0.2">
      <c r="A25" t="s">
        <v>48</v>
      </c>
      <c r="B25" t="s">
        <v>6</v>
      </c>
      <c r="C25" s="14">
        <f>G16</f>
        <v>15</v>
      </c>
      <c r="D25" s="14">
        <f>G16</f>
        <v>15</v>
      </c>
      <c r="E25" s="14">
        <f>G16</f>
        <v>15</v>
      </c>
      <c r="F25" s="14">
        <f>G16</f>
        <v>15</v>
      </c>
      <c r="G25" s="14">
        <f>G16</f>
        <v>15</v>
      </c>
      <c r="I25" s="37"/>
      <c r="J25" s="37"/>
      <c r="L25">
        <v>0</v>
      </c>
      <c r="M25">
        <v>0</v>
      </c>
      <c r="R25">
        <v>0.3</v>
      </c>
      <c r="S25">
        <v>4.256285537142503</v>
      </c>
      <c r="T25">
        <v>4.0786533227166935</v>
      </c>
      <c r="U25">
        <v>3.8868105311368204</v>
      </c>
      <c r="V25">
        <v>3.6796203162305554</v>
      </c>
      <c r="W25">
        <v>3.4558548841317895</v>
      </c>
      <c r="X25">
        <v>3.2141882174651233</v>
      </c>
      <c r="Y25" s="26" t="s">
        <v>66</v>
      </c>
      <c r="Z25" s="24">
        <v>4.256285537142503</v>
      </c>
      <c r="AA25" s="24">
        <v>4.0786533227166935</v>
      </c>
      <c r="AB25" s="24">
        <v>3.8868105311368204</v>
      </c>
      <c r="AC25" s="24">
        <v>3.6796203162305554</v>
      </c>
      <c r="AD25" s="24">
        <v>3.4558548841317895</v>
      </c>
      <c r="AE25" s="24">
        <v>3.2141882174651233</v>
      </c>
      <c r="AN25" s="31" t="s">
        <v>66</v>
      </c>
      <c r="AO25" s="24">
        <v>21.762910257757106</v>
      </c>
      <c r="AP25" s="24">
        <v>21.5852780433313</v>
      </c>
      <c r="AQ25" s="24">
        <v>21.393435251751427</v>
      </c>
      <c r="AR25" s="24">
        <v>21.186245036845161</v>
      </c>
      <c r="AS25" s="24">
        <v>20.962479604746395</v>
      </c>
      <c r="AT25" s="32">
        <v>20.720812938079732</v>
      </c>
    </row>
    <row r="26" spans="1:46" x14ac:dyDescent="0.2">
      <c r="A26" t="s">
        <v>51</v>
      </c>
      <c r="B26" t="s">
        <v>12</v>
      </c>
      <c r="C26" s="15">
        <f>C23*(1+C24)*C25/100000000</f>
        <v>5.25</v>
      </c>
      <c r="D26" s="15">
        <f>D23*(1+D24)*D25/100000000</f>
        <v>5.4074999999999998</v>
      </c>
      <c r="E26" s="15">
        <f t="shared" ref="E26:G26" si="1">E23*(1+E24)*E25/100000000</f>
        <v>5.569725</v>
      </c>
      <c r="F26" s="15">
        <f t="shared" si="1"/>
        <v>5.73681675</v>
      </c>
      <c r="G26" s="15">
        <f t="shared" si="1"/>
        <v>5.9089212524999999</v>
      </c>
      <c r="I26" s="37"/>
      <c r="J26" s="37"/>
      <c r="R26">
        <v>0.5</v>
      </c>
      <c r="S26">
        <v>4.256285537142503</v>
      </c>
      <c r="T26">
        <v>3.9602318464328201</v>
      </c>
      <c r="U26">
        <v>3.6404938604663633</v>
      </c>
      <c r="V26">
        <v>3.2951768356225895</v>
      </c>
      <c r="W26">
        <v>2.922234448791313</v>
      </c>
      <c r="X26">
        <v>2.5194566710135353</v>
      </c>
      <c r="Y26" s="26" t="s">
        <v>67</v>
      </c>
      <c r="Z26" s="24">
        <v>4.256285537142503</v>
      </c>
      <c r="AA26" s="24">
        <v>3.9602318464328201</v>
      </c>
      <c r="AB26" s="24">
        <v>3.6404938604663633</v>
      </c>
      <c r="AC26" s="24">
        <v>3.2951768356225895</v>
      </c>
      <c r="AD26" s="24">
        <v>2.922234448791313</v>
      </c>
      <c r="AE26" s="24">
        <v>2.5194566710135353</v>
      </c>
      <c r="AN26" s="31" t="s">
        <v>67</v>
      </c>
      <c r="AO26" s="24">
        <v>21.762910257757106</v>
      </c>
      <c r="AP26" s="24">
        <v>21.466856567047426</v>
      </c>
      <c r="AQ26" s="24">
        <v>21.147118581080971</v>
      </c>
      <c r="AR26" s="24">
        <v>20.801801556237194</v>
      </c>
      <c r="AS26" s="24">
        <v>20.428859169405918</v>
      </c>
      <c r="AT26" s="32">
        <v>20.026081391628143</v>
      </c>
    </row>
    <row r="27" spans="1:46" x14ac:dyDescent="0.2">
      <c r="A27" t="s">
        <v>44</v>
      </c>
      <c r="B27" t="s">
        <v>4</v>
      </c>
      <c r="C27" s="12">
        <f>G13</f>
        <v>15000000</v>
      </c>
      <c r="D27" s="12">
        <f>C27*(1+$B$7)</f>
        <v>15450000</v>
      </c>
      <c r="E27" s="12">
        <f>D27*(1+$B$7)</f>
        <v>15913500</v>
      </c>
      <c r="F27" s="12">
        <f t="shared" ref="F27:H27" si="2">E27*(1+$B$7)</f>
        <v>16390905</v>
      </c>
      <c r="G27" s="12">
        <f t="shared" si="2"/>
        <v>16882632.150000002</v>
      </c>
      <c r="I27" s="37"/>
      <c r="J27" s="37"/>
      <c r="R27">
        <v>0.7</v>
      </c>
      <c r="S27">
        <v>4.256285537142503</v>
      </c>
      <c r="T27">
        <v>3.8418103701489472</v>
      </c>
      <c r="U27">
        <v>3.3941771897959074</v>
      </c>
      <c r="V27">
        <v>2.910733355014623</v>
      </c>
      <c r="W27">
        <v>2.3886140134508369</v>
      </c>
      <c r="X27">
        <v>1.8247251245619482</v>
      </c>
      <c r="Y27" s="26" t="s">
        <v>68</v>
      </c>
      <c r="Z27" s="24">
        <v>4.256285537142503</v>
      </c>
      <c r="AA27" s="24">
        <v>3.8418103701489472</v>
      </c>
      <c r="AB27" s="24">
        <v>3.3941771897959074</v>
      </c>
      <c r="AC27" s="24">
        <v>2.910733355014623</v>
      </c>
      <c r="AD27" s="24">
        <v>2.3886140134508369</v>
      </c>
      <c r="AE27" s="24">
        <v>1.8247251245619482</v>
      </c>
      <c r="AN27" s="31" t="s">
        <v>68</v>
      </c>
      <c r="AO27" s="24">
        <v>21.762910257757106</v>
      </c>
      <c r="AP27" s="24">
        <v>21.348435090763552</v>
      </c>
      <c r="AQ27" s="24">
        <v>20.900801910410511</v>
      </c>
      <c r="AR27" s="24">
        <v>20.417358075629227</v>
      </c>
      <c r="AS27" s="24">
        <v>19.89523873406544</v>
      </c>
      <c r="AT27" s="32">
        <v>19.331349845176554</v>
      </c>
    </row>
    <row r="28" spans="1:46" x14ac:dyDescent="0.2">
      <c r="A28" t="s">
        <v>45</v>
      </c>
      <c r="B28" t="s">
        <v>22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I28" s="37"/>
      <c r="J28" s="37"/>
      <c r="L28" t="s">
        <v>54</v>
      </c>
      <c r="M28" t="s">
        <v>53</v>
      </c>
      <c r="N28" t="s">
        <v>55</v>
      </c>
      <c r="R28">
        <v>0.9</v>
      </c>
      <c r="S28">
        <v>4.256285537142503</v>
      </c>
      <c r="T28">
        <v>3.7233888938650743</v>
      </c>
      <c r="U28">
        <v>3.1478605191254512</v>
      </c>
      <c r="V28">
        <v>2.526289874406658</v>
      </c>
      <c r="W28">
        <v>1.8549935781103615</v>
      </c>
      <c r="X28">
        <v>1.1299935781103612</v>
      </c>
      <c r="Y28" s="26" t="s">
        <v>69</v>
      </c>
      <c r="Z28" s="24">
        <v>4.256285537142503</v>
      </c>
      <c r="AA28" s="24">
        <v>3.7233888938650743</v>
      </c>
      <c r="AB28" s="24">
        <v>3.1478605191254512</v>
      </c>
      <c r="AC28" s="24">
        <v>2.526289874406658</v>
      </c>
      <c r="AD28" s="24">
        <v>1.8549935781103615</v>
      </c>
      <c r="AE28" s="27">
        <v>1.1299935781103612</v>
      </c>
      <c r="AN28" s="33" t="s">
        <v>69</v>
      </c>
      <c r="AO28" s="34">
        <v>21.762910257757106</v>
      </c>
      <c r="AP28" s="34">
        <v>21.230013614479681</v>
      </c>
      <c r="AQ28" s="34">
        <v>20.654485239740058</v>
      </c>
      <c r="AR28" s="34">
        <v>20.032914595021264</v>
      </c>
      <c r="AS28" s="34">
        <v>19.361618298724967</v>
      </c>
      <c r="AT28" s="35">
        <v>18.636618298724969</v>
      </c>
    </row>
    <row r="29" spans="1:46" x14ac:dyDescent="0.2">
      <c r="A29" t="s">
        <v>41</v>
      </c>
      <c r="B29" t="s">
        <v>6</v>
      </c>
      <c r="C29" s="14">
        <f>G17</f>
        <v>37.5</v>
      </c>
      <c r="D29" s="14">
        <f>G17</f>
        <v>37.5</v>
      </c>
      <c r="E29" s="14">
        <f>G17</f>
        <v>37.5</v>
      </c>
      <c r="F29" s="14">
        <f>G17</f>
        <v>37.5</v>
      </c>
      <c r="G29" s="14">
        <f>G17</f>
        <v>37.5</v>
      </c>
      <c r="I29" s="37"/>
      <c r="J29" s="37"/>
      <c r="L29" t="s">
        <v>61</v>
      </c>
      <c r="M29" s="24">
        <v>21.762910257757106</v>
      </c>
      <c r="N29">
        <f>O29-M29</f>
        <v>0</v>
      </c>
      <c r="O29">
        <v>21.762910257757106</v>
      </c>
    </row>
    <row r="30" spans="1:46" x14ac:dyDescent="0.2">
      <c r="A30" t="s">
        <v>42</v>
      </c>
      <c r="B30" t="s">
        <v>12</v>
      </c>
      <c r="C30" s="15">
        <f>C27*(1+C28)*C29/100000000</f>
        <v>5.625</v>
      </c>
      <c r="D30" s="15">
        <f>D27*(1+D28)*D29/100000000</f>
        <v>5.7937500000000002</v>
      </c>
      <c r="E30" s="15">
        <f t="shared" ref="E30:G30" si="3">E27*(1+E28)*E29/100000000</f>
        <v>5.9675624999999997</v>
      </c>
      <c r="F30" s="15">
        <f t="shared" si="3"/>
        <v>6.1465893749999996</v>
      </c>
      <c r="G30" s="15">
        <f t="shared" si="3"/>
        <v>6.3309870562500015</v>
      </c>
      <c r="I30" s="37"/>
      <c r="J30" s="37"/>
      <c r="L30" t="s">
        <v>56</v>
      </c>
      <c r="M30" s="24">
        <v>20.554576924423777</v>
      </c>
      <c r="N30" s="23">
        <f>O30-M30</f>
        <v>1.2083333333333286</v>
      </c>
      <c r="O30">
        <v>21.762910257757106</v>
      </c>
    </row>
    <row r="31" spans="1:46" x14ac:dyDescent="0.2">
      <c r="A31" t="s">
        <v>23</v>
      </c>
      <c r="B31" t="s">
        <v>12</v>
      </c>
      <c r="C31" s="15">
        <f>SUM(C26,C30)</f>
        <v>10.875</v>
      </c>
      <c r="D31" s="15">
        <f>SUM(D26,D30)</f>
        <v>11.20125</v>
      </c>
      <c r="E31" s="15">
        <f>SUM(E26,E30)</f>
        <v>11.5372875</v>
      </c>
      <c r="F31" s="15">
        <f>SUM(F26,F30)</f>
        <v>11.883406125</v>
      </c>
      <c r="G31" s="15">
        <f>SUM(G26,G30)</f>
        <v>12.239908308750001</v>
      </c>
      <c r="L31" t="s">
        <v>57</v>
      </c>
      <c r="M31" s="24">
        <v>20.644083097263284</v>
      </c>
      <c r="N31" s="23">
        <f t="shared" ref="N31:N34" si="4">O31-M31</f>
        <v>1.1188271604938222</v>
      </c>
      <c r="O31">
        <v>21.762910257757106</v>
      </c>
    </row>
    <row r="32" spans="1:46" x14ac:dyDescent="0.2">
      <c r="A32" t="s">
        <v>24</v>
      </c>
      <c r="B32" t="s">
        <v>12</v>
      </c>
      <c r="C32" s="16">
        <f>C31*$B$6</f>
        <v>10.657500000000001</v>
      </c>
      <c r="D32" s="16">
        <f>D31*$B$6</f>
        <v>10.977224999999999</v>
      </c>
      <c r="E32" s="16">
        <f>E31*$B$6</f>
        <v>11.306541749999999</v>
      </c>
      <c r="F32" s="16">
        <f>F31*$B$6</f>
        <v>11.6457380025</v>
      </c>
      <c r="G32" s="16">
        <f>G31*$B$6</f>
        <v>11.995110142575001</v>
      </c>
      <c r="L32" t="s">
        <v>58</v>
      </c>
      <c r="M32" s="24">
        <v>20.726959183225787</v>
      </c>
      <c r="N32" s="23">
        <f t="shared" si="4"/>
        <v>1.0359510745313187</v>
      </c>
      <c r="O32">
        <v>21.762910257757106</v>
      </c>
    </row>
    <row r="33" spans="1:15" x14ac:dyDescent="0.2">
      <c r="A33" t="s">
        <v>11</v>
      </c>
      <c r="B33" t="s">
        <v>12</v>
      </c>
      <c r="C33" s="15">
        <f>$B$8</f>
        <v>4</v>
      </c>
      <c r="D33" s="15">
        <f>$B$8</f>
        <v>4</v>
      </c>
      <c r="E33" s="15">
        <f>$B$8</f>
        <v>4</v>
      </c>
      <c r="F33" s="15">
        <f>$B$8</f>
        <v>4</v>
      </c>
      <c r="G33" s="15">
        <f>$B$8</f>
        <v>4</v>
      </c>
      <c r="L33" t="s">
        <v>59</v>
      </c>
      <c r="M33" s="24">
        <v>20.803696299857734</v>
      </c>
      <c r="N33" s="23">
        <f t="shared" si="4"/>
        <v>0.95921395789937236</v>
      </c>
      <c r="O33">
        <v>21.762910257757106</v>
      </c>
    </row>
    <row r="34" spans="1:15" x14ac:dyDescent="0.2">
      <c r="A34" t="s">
        <v>25</v>
      </c>
      <c r="B34" t="s">
        <v>12</v>
      </c>
      <c r="C34" s="17">
        <f>IF(M25=5,L25,0)</f>
        <v>0</v>
      </c>
      <c r="D34" s="17">
        <f>IF(M25&gt;=4,L25,0)</f>
        <v>0</v>
      </c>
      <c r="E34" s="17">
        <f>IF(M25&gt;=3,L25,0)</f>
        <v>0</v>
      </c>
      <c r="F34" s="17">
        <f>IF(M25&gt;=2,L25,0)</f>
        <v>0</v>
      </c>
      <c r="G34" s="17">
        <f>IF(M25&gt;=1,L25,0)</f>
        <v>0</v>
      </c>
      <c r="L34" t="s">
        <v>60</v>
      </c>
      <c r="M34" s="24">
        <v>20.874749185628062</v>
      </c>
      <c r="N34" s="23">
        <f t="shared" si="4"/>
        <v>0.88816107212904427</v>
      </c>
      <c r="O34">
        <v>21.762910257757106</v>
      </c>
    </row>
    <row r="35" spans="1:15" x14ac:dyDescent="0.2">
      <c r="A35" t="s">
        <v>26</v>
      </c>
      <c r="B35" t="s">
        <v>12</v>
      </c>
      <c r="C35" s="15">
        <f>$B$9</f>
        <v>1</v>
      </c>
      <c r="D35" s="15">
        <f>$B$9</f>
        <v>1</v>
      </c>
      <c r="E35" s="15">
        <f>$B$9</f>
        <v>1</v>
      </c>
      <c r="F35" s="15">
        <f>$B$9</f>
        <v>1</v>
      </c>
      <c r="G35" s="15">
        <f>$B$9</f>
        <v>1</v>
      </c>
    </row>
    <row r="36" spans="1:15" x14ac:dyDescent="0.2">
      <c r="A36" t="s">
        <v>27</v>
      </c>
      <c r="B36" t="s">
        <v>12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7" spans="1:15" x14ac:dyDescent="0.2">
      <c r="A37" t="s">
        <v>28</v>
      </c>
      <c r="B37" t="s">
        <v>12</v>
      </c>
      <c r="C37" s="16">
        <f>C32-C33-C34-C35-C36</f>
        <v>5.6575000000000006</v>
      </c>
      <c r="D37" s="16">
        <f>D32-D33-D34-D35-D36</f>
        <v>5.9772249999999989</v>
      </c>
      <c r="E37" s="16">
        <f>E32-E33-E34-E35-E36</f>
        <v>6.3065417499999992</v>
      </c>
      <c r="F37" s="16">
        <f>F32-F33-F34-F35-F36</f>
        <v>6.6457380024999999</v>
      </c>
      <c r="G37" s="16">
        <f>G32-G33-G34-G35-G36</f>
        <v>6.9951101425750011</v>
      </c>
    </row>
    <row r="38" spans="1:15" x14ac:dyDescent="0.2">
      <c r="A38" t="s">
        <v>29</v>
      </c>
      <c r="B38" t="s">
        <v>12</v>
      </c>
      <c r="C38" s="15">
        <f>MAX(C37,0)*$B$10</f>
        <v>0.7354750000000001</v>
      </c>
      <c r="D38" s="15">
        <f>MAX(D37,0)*$B$10</f>
        <v>0.77703924999999985</v>
      </c>
      <c r="E38" s="15">
        <f>MAX(E37,0)*$B$10</f>
        <v>0.81985042749999992</v>
      </c>
      <c r="F38" s="15">
        <f>MAX(F37,0)*$B$10</f>
        <v>0.86394594032500005</v>
      </c>
      <c r="G38" s="15">
        <f>MAX(G37,0)*$B$10</f>
        <v>0.90936431853475019</v>
      </c>
    </row>
    <row r="39" spans="1:15" x14ac:dyDescent="0.2">
      <c r="A39" t="s">
        <v>122</v>
      </c>
      <c r="B39" t="s">
        <v>12</v>
      </c>
      <c r="C39" s="18">
        <f>C37-C38</f>
        <v>4.9220250000000005</v>
      </c>
      <c r="D39" s="18">
        <f>D37-D38</f>
        <v>5.2001857499999993</v>
      </c>
      <c r="E39" s="18">
        <f>E37-E38</f>
        <v>5.4866913224999996</v>
      </c>
      <c r="F39" s="18">
        <f>F37-F38</f>
        <v>5.7817920621749996</v>
      </c>
      <c r="G39" s="18">
        <f>G37-G38</f>
        <v>6.0857458240402504</v>
      </c>
    </row>
    <row r="40" spans="1:15" x14ac:dyDescent="0.2">
      <c r="A40" t="s">
        <v>120</v>
      </c>
      <c r="B40" t="s">
        <v>12</v>
      </c>
      <c r="C40" s="17">
        <v>4.2</v>
      </c>
      <c r="D40" s="17">
        <v>4.3</v>
      </c>
      <c r="E40" s="17">
        <v>4.4000000000000004</v>
      </c>
      <c r="F40" s="17">
        <v>4.5</v>
      </c>
      <c r="G40" s="17">
        <v>4.5999999999999996</v>
      </c>
    </row>
    <row r="41" spans="1:15" x14ac:dyDescent="0.2">
      <c r="A41" t="s">
        <v>121</v>
      </c>
      <c r="B41" t="s">
        <v>8</v>
      </c>
      <c r="C41" s="67">
        <f t="shared" ref="C41:G41" si="5">C39/C40</f>
        <v>1.1719107142857144</v>
      </c>
      <c r="D41" s="67">
        <f t="shared" si="5"/>
        <v>1.2093455232558139</v>
      </c>
      <c r="E41" s="67">
        <f t="shared" si="5"/>
        <v>1.2469753005681816</v>
      </c>
      <c r="F41" s="67">
        <f t="shared" si="5"/>
        <v>1.2848426804833333</v>
      </c>
      <c r="G41" s="67">
        <f t="shared" si="5"/>
        <v>1.3229882226174459</v>
      </c>
    </row>
    <row r="42" spans="1:15" x14ac:dyDescent="0.2">
      <c r="A42" t="s">
        <v>30</v>
      </c>
      <c r="B42" t="s">
        <v>12</v>
      </c>
      <c r="C42" s="18">
        <f>C39-C40</f>
        <v>0.72202500000000036</v>
      </c>
      <c r="D42" s="18">
        <f t="shared" ref="D42:G42" si="6">D39-D40</f>
        <v>0.90018574999999945</v>
      </c>
      <c r="E42" s="18">
        <f t="shared" si="6"/>
        <v>1.0866913224999992</v>
      </c>
      <c r="F42" s="18">
        <f t="shared" si="6"/>
        <v>1.2817920621749996</v>
      </c>
      <c r="G42" s="18">
        <f t="shared" si="6"/>
        <v>1.4857458240402508</v>
      </c>
    </row>
    <row r="43" spans="1:15" x14ac:dyDescent="0.2">
      <c r="A43" t="s">
        <v>31</v>
      </c>
      <c r="B43" t="s">
        <v>8</v>
      </c>
      <c r="C43" s="19">
        <f>1/(1+$B$11)^(C22-$C$22+1)</f>
        <v>0.92592592592592582</v>
      </c>
      <c r="D43" s="19">
        <f>1/(1+$B$11)^(D22-$C$22+1)</f>
        <v>0.85733882030178321</v>
      </c>
      <c r="E43" s="19">
        <f>1/(1+$B$11)^(E22-$C$22+1)</f>
        <v>0.79383224102016958</v>
      </c>
      <c r="F43" s="19">
        <f>1/(1+$B$11)^(F22-$C$22+1)</f>
        <v>0.73502985279645328</v>
      </c>
      <c r="G43" s="19">
        <f>1/(1+$B$11)^(G22-$C$22+1)</f>
        <v>0.68058319703375303</v>
      </c>
    </row>
    <row r="44" spans="1:15" x14ac:dyDescent="0.2">
      <c r="A44" t="s">
        <v>32</v>
      </c>
      <c r="B44" t="s">
        <v>12</v>
      </c>
      <c r="C44" s="20">
        <f>C42*C43</f>
        <v>0.66854166666666692</v>
      </c>
      <c r="D44" s="20">
        <f t="shared" ref="D44:G44" si="7">D42*D43</f>
        <v>0.77176418895747545</v>
      </c>
      <c r="E44" s="20">
        <f t="shared" si="7"/>
        <v>0.86265060783734626</v>
      </c>
      <c r="F44" s="20">
        <f t="shared" si="7"/>
        <v>0.94215543077615227</v>
      </c>
      <c r="G44" s="20">
        <f t="shared" si="7"/>
        <v>1.0111736429048617</v>
      </c>
    </row>
    <row r="46" spans="1:15" ht="19" x14ac:dyDescent="0.25">
      <c r="A46" s="41" t="s">
        <v>33</v>
      </c>
      <c r="B46" s="37"/>
      <c r="C46" s="22">
        <f>SUM(C44:G44)</f>
        <v>4.256285537142503</v>
      </c>
      <c r="D46" s="37"/>
      <c r="E46" s="37"/>
      <c r="F46" s="37"/>
      <c r="G46" s="37"/>
    </row>
    <row r="49" spans="1:7" x14ac:dyDescent="0.2">
      <c r="A49" s="41" t="s">
        <v>34</v>
      </c>
      <c r="B49" s="37"/>
      <c r="C49" s="37"/>
      <c r="D49" s="37"/>
      <c r="E49" s="37"/>
      <c r="F49" s="37"/>
      <c r="G49" s="37"/>
    </row>
    <row r="51" spans="1:7" ht="30" customHeight="1" x14ac:dyDescent="0.2">
      <c r="A51" s="38" t="s">
        <v>35</v>
      </c>
      <c r="B51" s="39"/>
      <c r="C51" s="39"/>
      <c r="D51" s="39"/>
      <c r="E51" s="39"/>
      <c r="F51" s="39"/>
      <c r="G51" s="39"/>
    </row>
    <row r="52" spans="1:7" x14ac:dyDescent="0.2">
      <c r="A52" s="39"/>
      <c r="B52" s="39"/>
      <c r="C52" s="39"/>
      <c r="D52" s="39"/>
      <c r="E52" s="39"/>
      <c r="F52" s="39"/>
      <c r="G52" s="39"/>
    </row>
    <row r="53" spans="1:7" x14ac:dyDescent="0.2">
      <c r="A53" s="39"/>
      <c r="B53" s="39"/>
      <c r="C53" s="39"/>
      <c r="D53" s="39"/>
      <c r="E53" s="39"/>
      <c r="F53" s="39"/>
      <c r="G53" s="39"/>
    </row>
    <row r="54" spans="1:7" x14ac:dyDescent="0.2">
      <c r="A54" s="39"/>
      <c r="B54" s="39"/>
      <c r="C54" s="39"/>
      <c r="D54" s="39"/>
      <c r="E54" s="39"/>
      <c r="F54" s="39"/>
      <c r="G54" s="39"/>
    </row>
    <row r="55" spans="1:7" x14ac:dyDescent="0.2">
      <c r="A55" s="39"/>
      <c r="B55" s="39"/>
      <c r="C55" s="39"/>
      <c r="D55" s="39"/>
      <c r="E55" s="39"/>
      <c r="F55" s="39"/>
      <c r="G55" s="39"/>
    </row>
    <row r="56" spans="1:7" x14ac:dyDescent="0.2">
      <c r="A56" s="39"/>
      <c r="B56" s="39"/>
      <c r="C56" s="39"/>
      <c r="D56" s="39"/>
      <c r="E56" s="39"/>
      <c r="F56" s="39"/>
      <c r="G56" s="39"/>
    </row>
    <row r="57" spans="1:7" x14ac:dyDescent="0.2">
      <c r="A57" s="39"/>
      <c r="B57" s="39"/>
      <c r="C57" s="39"/>
      <c r="D57" s="39"/>
      <c r="E57" s="39"/>
      <c r="F57" s="39"/>
      <c r="G57" s="39"/>
    </row>
    <row r="59" spans="1:7" ht="30" customHeight="1" x14ac:dyDescent="0.2">
      <c r="A59" s="38" t="s">
        <v>36</v>
      </c>
      <c r="B59" s="39"/>
      <c r="C59" s="39"/>
      <c r="D59" s="39"/>
      <c r="E59" s="39"/>
      <c r="F59" s="39"/>
      <c r="G59" s="39"/>
    </row>
    <row r="60" spans="1:7" x14ac:dyDescent="0.2">
      <c r="A60" s="39"/>
      <c r="B60" s="39"/>
      <c r="C60" s="39"/>
      <c r="D60" s="39"/>
      <c r="E60" s="39"/>
      <c r="F60" s="39"/>
      <c r="G60" s="39"/>
    </row>
    <row r="61" spans="1:7" x14ac:dyDescent="0.2">
      <c r="A61" s="39"/>
      <c r="B61" s="39"/>
      <c r="C61" s="39"/>
      <c r="D61" s="39"/>
      <c r="E61" s="39"/>
      <c r="F61" s="39"/>
      <c r="G61" s="39"/>
    </row>
    <row r="62" spans="1:7" x14ac:dyDescent="0.2">
      <c r="A62" s="39"/>
      <c r="B62" s="39"/>
      <c r="C62" s="39"/>
      <c r="D62" s="39"/>
      <c r="E62" s="39"/>
      <c r="F62" s="39"/>
      <c r="G62" s="39"/>
    </row>
    <row r="63" spans="1:7" x14ac:dyDescent="0.2">
      <c r="A63" s="39"/>
      <c r="B63" s="39"/>
      <c r="C63" s="39"/>
      <c r="D63" s="39"/>
      <c r="E63" s="39"/>
      <c r="F63" s="39"/>
      <c r="G63" s="39"/>
    </row>
    <row r="64" spans="1:7" x14ac:dyDescent="0.2">
      <c r="A64" s="39"/>
      <c r="B64" s="39"/>
      <c r="C64" s="39"/>
      <c r="D64" s="39"/>
      <c r="E64" s="39"/>
      <c r="F64" s="39"/>
      <c r="G64" s="39"/>
    </row>
    <row r="65" spans="1:7" x14ac:dyDescent="0.2">
      <c r="A65" s="39"/>
      <c r="B65" s="39"/>
      <c r="C65" s="39"/>
      <c r="D65" s="39"/>
      <c r="E65" s="39"/>
      <c r="F65" s="39"/>
      <c r="G65" s="39"/>
    </row>
    <row r="67" spans="1:7" ht="30" customHeight="1" x14ac:dyDescent="0.2">
      <c r="A67" s="38" t="s">
        <v>37</v>
      </c>
      <c r="B67" s="39"/>
      <c r="C67" s="39"/>
      <c r="D67" s="39"/>
      <c r="E67" s="39"/>
      <c r="F67" s="39"/>
      <c r="G67" s="39"/>
    </row>
    <row r="68" spans="1:7" x14ac:dyDescent="0.2">
      <c r="A68" s="39"/>
      <c r="B68" s="39"/>
      <c r="C68" s="39"/>
      <c r="D68" s="39"/>
      <c r="E68" s="39"/>
      <c r="F68" s="39"/>
      <c r="G68" s="39"/>
    </row>
    <row r="69" spans="1:7" x14ac:dyDescent="0.2">
      <c r="A69" s="39"/>
      <c r="B69" s="39"/>
      <c r="C69" s="39"/>
      <c r="D69" s="39"/>
      <c r="E69" s="39"/>
      <c r="F69" s="39"/>
      <c r="G69" s="39"/>
    </row>
    <row r="70" spans="1:7" x14ac:dyDescent="0.2">
      <c r="A70" s="39"/>
      <c r="B70" s="39"/>
      <c r="C70" s="39"/>
      <c r="D70" s="39"/>
      <c r="E70" s="39"/>
      <c r="F70" s="39"/>
      <c r="G70" s="39"/>
    </row>
    <row r="71" spans="1:7" x14ac:dyDescent="0.2">
      <c r="A71" s="39"/>
      <c r="B71" s="39"/>
      <c r="C71" s="39"/>
      <c r="D71" s="39"/>
      <c r="E71" s="39"/>
      <c r="F71" s="39"/>
      <c r="G71" s="39"/>
    </row>
    <row r="72" spans="1:7" x14ac:dyDescent="0.2">
      <c r="A72" s="39"/>
      <c r="B72" s="39"/>
      <c r="C72" s="39"/>
      <c r="D72" s="39"/>
      <c r="E72" s="39"/>
      <c r="F72" s="39"/>
      <c r="G72" s="39"/>
    </row>
    <row r="73" spans="1:7" x14ac:dyDescent="0.2">
      <c r="A73" s="39"/>
      <c r="B73" s="39"/>
      <c r="C73" s="39"/>
      <c r="D73" s="39"/>
      <c r="E73" s="39"/>
      <c r="F73" s="39"/>
      <c r="G73" s="39"/>
    </row>
    <row r="99" spans="13:43" x14ac:dyDescent="0.2">
      <c r="O99" s="51">
        <v>0.7</v>
      </c>
      <c r="P99" s="50">
        <v>0.65</v>
      </c>
      <c r="Q99" s="51">
        <v>0.6</v>
      </c>
      <c r="R99" s="50">
        <v>0.55000000000000004</v>
      </c>
      <c r="S99" s="51">
        <v>0.5</v>
      </c>
      <c r="T99" s="50">
        <v>0.45</v>
      </c>
      <c r="U99" s="51">
        <v>0.4</v>
      </c>
      <c r="V99" s="50">
        <v>0.35</v>
      </c>
      <c r="W99" s="51">
        <v>0.3</v>
      </c>
      <c r="X99" s="50">
        <v>0.25</v>
      </c>
      <c r="Y99" s="51">
        <v>0.2</v>
      </c>
      <c r="Z99" s="50">
        <v>0.15</v>
      </c>
      <c r="AA99" s="51">
        <v>0.1</v>
      </c>
      <c r="AB99" s="50">
        <v>0.05</v>
      </c>
      <c r="AC99" s="51">
        <v>0</v>
      </c>
      <c r="AD99" s="51">
        <v>-4.9999999999998997E-2</v>
      </c>
      <c r="AE99" s="50">
        <v>-9.9999999999999103E-2</v>
      </c>
      <c r="AF99" s="51">
        <v>-0.149999999999999</v>
      </c>
      <c r="AG99" s="50">
        <v>-0.19999999999999901</v>
      </c>
      <c r="AH99" s="51">
        <v>-0.249999999999999</v>
      </c>
      <c r="AI99" s="50">
        <v>-0.29999999999999899</v>
      </c>
      <c r="AJ99" s="51">
        <v>-0.35</v>
      </c>
      <c r="AK99" s="50">
        <v>-0.4</v>
      </c>
      <c r="AL99" s="51">
        <v>-0.45</v>
      </c>
      <c r="AM99" s="50">
        <v>-0.5</v>
      </c>
      <c r="AN99" s="51">
        <v>-0.55000000000000004</v>
      </c>
      <c r="AO99" s="50">
        <v>-0.6</v>
      </c>
      <c r="AP99" s="51">
        <v>-0.65</v>
      </c>
      <c r="AQ99" s="50">
        <v>-0.7</v>
      </c>
    </row>
    <row r="100" spans="13:43" x14ac:dyDescent="0.2">
      <c r="N100" s="25">
        <f>L3</f>
        <v>56.582114895074994</v>
      </c>
      <c r="O100">
        <v>0.85</v>
      </c>
      <c r="P100">
        <v>0.82499999999999996</v>
      </c>
      <c r="Q100">
        <v>0.8</v>
      </c>
      <c r="R100">
        <v>0.77500000000000002</v>
      </c>
      <c r="S100">
        <v>0.75</v>
      </c>
      <c r="T100">
        <v>0.72499999999999998</v>
      </c>
      <c r="U100">
        <v>0.7</v>
      </c>
      <c r="V100">
        <v>0.67500000000000004</v>
      </c>
      <c r="W100">
        <v>0.65</v>
      </c>
      <c r="X100">
        <v>0.625</v>
      </c>
      <c r="Y100">
        <v>0.6</v>
      </c>
      <c r="Z100">
        <v>0.57499999999999996</v>
      </c>
      <c r="AA100">
        <v>0.55000000000000004</v>
      </c>
      <c r="AB100">
        <v>0.52500000000000002</v>
      </c>
      <c r="AC100" s="23">
        <v>0.5</v>
      </c>
      <c r="AD100">
        <v>0.47500000000000048</v>
      </c>
      <c r="AE100">
        <v>0.45000000000000046</v>
      </c>
      <c r="AF100">
        <v>0.42500000000000049</v>
      </c>
      <c r="AG100">
        <v>0.40000000000000047</v>
      </c>
      <c r="AH100">
        <v>0.3750000000000005</v>
      </c>
      <c r="AI100">
        <v>0.35000000000000053</v>
      </c>
      <c r="AJ100">
        <v>0.32500000000000001</v>
      </c>
      <c r="AK100">
        <v>0.3</v>
      </c>
      <c r="AL100">
        <v>0.27500000000000002</v>
      </c>
      <c r="AM100">
        <v>0.25</v>
      </c>
      <c r="AN100">
        <v>0.22499999999999998</v>
      </c>
      <c r="AO100">
        <v>0.2</v>
      </c>
      <c r="AP100">
        <v>0.17499999999999999</v>
      </c>
      <c r="AQ100">
        <v>0.15000000000000002</v>
      </c>
    </row>
    <row r="101" spans="13:43" x14ac:dyDescent="0.2">
      <c r="M101" s="51">
        <v>0.7</v>
      </c>
      <c r="N101">
        <v>25.5</v>
      </c>
      <c r="O101">
        <f t="dataTable" ref="O101:AQ129" dt2D="1" dtr="1" r1="G10" r2="G5" ca="1"/>
        <v>61.594509831814577</v>
      </c>
      <c r="P101">
        <v>62.407146068152478</v>
      </c>
      <c r="Q101">
        <v>63.219782304490352</v>
      </c>
      <c r="R101">
        <v>64.032418540828246</v>
      </c>
      <c r="S101">
        <v>64.845054777166141</v>
      </c>
      <c r="T101">
        <v>65.657691013504021</v>
      </c>
      <c r="U101">
        <v>66.470327249841901</v>
      </c>
      <c r="V101">
        <v>67.282963486179796</v>
      </c>
      <c r="W101">
        <v>68.095599722517676</v>
      </c>
      <c r="X101">
        <v>68.90823595885557</v>
      </c>
      <c r="Y101">
        <v>69.720872195193465</v>
      </c>
      <c r="Z101">
        <v>70.533508431531331</v>
      </c>
      <c r="AA101">
        <v>71.346144667869225</v>
      </c>
      <c r="AB101">
        <v>72.15878090420712</v>
      </c>
      <c r="AC101">
        <v>72.971417140545</v>
      </c>
      <c r="AD101">
        <v>73.784053376882881</v>
      </c>
      <c r="AE101">
        <v>74.596689613220775</v>
      </c>
      <c r="AF101">
        <v>75.409325849558655</v>
      </c>
      <c r="AG101">
        <v>76.221962085896536</v>
      </c>
      <c r="AH101">
        <v>77.034598322234416</v>
      </c>
      <c r="AI101">
        <v>77.847234558572325</v>
      </c>
      <c r="AJ101">
        <v>78.659870794910219</v>
      </c>
      <c r="AK101">
        <v>79.472507031248099</v>
      </c>
      <c r="AL101">
        <v>80.285143267585994</v>
      </c>
      <c r="AM101">
        <v>81.097779503923874</v>
      </c>
      <c r="AN101">
        <v>81.910415740261783</v>
      </c>
      <c r="AO101">
        <v>82.723051976599663</v>
      </c>
      <c r="AP101">
        <v>83.535688212937544</v>
      </c>
      <c r="AQ101">
        <v>84.348324449275424</v>
      </c>
    </row>
    <row r="102" spans="13:43" x14ac:dyDescent="0.2">
      <c r="M102" s="50">
        <v>0.65</v>
      </c>
      <c r="N102">
        <v>24.75</v>
      </c>
      <c r="O102">
        <v>62.181305385424707</v>
      </c>
      <c r="P102">
        <v>62.913702329519147</v>
      </c>
      <c r="Q102">
        <v>63.646099273613586</v>
      </c>
      <c r="R102">
        <v>64.378496217708033</v>
      </c>
      <c r="S102">
        <v>65.110893161802466</v>
      </c>
      <c r="T102">
        <v>65.843290105896912</v>
      </c>
      <c r="U102">
        <v>66.575687049991345</v>
      </c>
      <c r="V102">
        <v>67.308083994085791</v>
      </c>
      <c r="W102">
        <v>68.040480938180224</v>
      </c>
      <c r="X102">
        <v>68.77287788227467</v>
      </c>
      <c r="Y102">
        <v>69.505274826369117</v>
      </c>
      <c r="Z102">
        <v>70.23767177046355</v>
      </c>
      <c r="AA102">
        <v>70.970068714557982</v>
      </c>
      <c r="AB102">
        <v>71.702465658652429</v>
      </c>
      <c r="AC102">
        <v>72.434862602746875</v>
      </c>
      <c r="AD102">
        <v>73.167259546841294</v>
      </c>
      <c r="AE102">
        <v>73.89965649093574</v>
      </c>
      <c r="AF102">
        <v>74.632053435030187</v>
      </c>
      <c r="AG102">
        <v>75.364450379124619</v>
      </c>
      <c r="AH102">
        <v>76.096847323219066</v>
      </c>
      <c r="AI102">
        <v>76.829244267313499</v>
      </c>
      <c r="AJ102">
        <v>77.561641211407959</v>
      </c>
      <c r="AK102">
        <v>78.294038155502392</v>
      </c>
      <c r="AL102">
        <v>79.026435099596839</v>
      </c>
      <c r="AM102">
        <v>79.758832043691285</v>
      </c>
      <c r="AN102">
        <v>80.491228987785718</v>
      </c>
      <c r="AO102">
        <v>81.223625931880164</v>
      </c>
      <c r="AP102">
        <v>81.956022875974583</v>
      </c>
      <c r="AQ102">
        <v>82.688419820069043</v>
      </c>
    </row>
    <row r="103" spans="13:43" x14ac:dyDescent="0.2">
      <c r="M103" s="51">
        <v>0.6</v>
      </c>
      <c r="N103">
        <v>24</v>
      </c>
      <c r="O103">
        <v>62.622743436976805</v>
      </c>
      <c r="P103">
        <v>63.278315526795602</v>
      </c>
      <c r="Q103">
        <v>63.933887616614399</v>
      </c>
      <c r="R103">
        <v>64.589459706433203</v>
      </c>
      <c r="S103">
        <v>65.245031796252007</v>
      </c>
      <c r="T103">
        <v>65.900603886070797</v>
      </c>
      <c r="U103">
        <v>66.556175975889602</v>
      </c>
      <c r="V103">
        <v>67.211748065708406</v>
      </c>
      <c r="W103">
        <v>67.867320155527196</v>
      </c>
      <c r="X103">
        <v>68.522892245346</v>
      </c>
      <c r="Y103">
        <v>69.178464335164804</v>
      </c>
      <c r="Z103">
        <v>69.834036424983609</v>
      </c>
      <c r="AA103">
        <v>70.489608514802399</v>
      </c>
      <c r="AB103">
        <v>71.145180604621203</v>
      </c>
      <c r="AC103">
        <v>71.800752694440007</v>
      </c>
      <c r="AD103">
        <v>72.456324784258797</v>
      </c>
      <c r="AE103">
        <v>73.111896874077587</v>
      </c>
      <c r="AF103">
        <v>73.767468963896391</v>
      </c>
      <c r="AG103">
        <v>74.423041053715195</v>
      </c>
      <c r="AH103">
        <v>75.078613143533985</v>
      </c>
      <c r="AI103">
        <v>75.73418523335279</v>
      </c>
      <c r="AJ103">
        <v>76.389757323171594</v>
      </c>
      <c r="AK103">
        <v>77.045329412990412</v>
      </c>
      <c r="AL103">
        <v>77.700901502809202</v>
      </c>
      <c r="AM103">
        <v>78.356473592627992</v>
      </c>
      <c r="AN103">
        <v>79.012045682446796</v>
      </c>
      <c r="AO103">
        <v>79.667617772265601</v>
      </c>
      <c r="AP103">
        <v>80.323189862084405</v>
      </c>
      <c r="AQ103">
        <v>80.978761951903209</v>
      </c>
    </row>
    <row r="104" spans="13:43" x14ac:dyDescent="0.2">
      <c r="M104" s="50">
        <v>0.55000000000000004</v>
      </c>
      <c r="N104">
        <v>23.25</v>
      </c>
      <c r="O104">
        <v>62.918823986470855</v>
      </c>
      <c r="P104">
        <v>63.500985659981829</v>
      </c>
      <c r="Q104">
        <v>64.083147333492789</v>
      </c>
      <c r="R104">
        <v>64.665309007003756</v>
      </c>
      <c r="S104">
        <v>65.247470680514709</v>
      </c>
      <c r="T104">
        <v>65.829632354025676</v>
      </c>
      <c r="U104">
        <v>66.411794027536658</v>
      </c>
      <c r="V104">
        <v>66.993955701047611</v>
      </c>
      <c r="W104">
        <v>67.576117374558592</v>
      </c>
      <c r="X104">
        <v>68.158279048069545</v>
      </c>
      <c r="Y104">
        <v>68.740440721580512</v>
      </c>
      <c r="Z104">
        <v>69.322602395091494</v>
      </c>
      <c r="AA104">
        <v>69.904764068602447</v>
      </c>
      <c r="AB104">
        <v>70.486925742113414</v>
      </c>
      <c r="AC104">
        <v>71.069087415624367</v>
      </c>
      <c r="AD104">
        <v>71.651249089135334</v>
      </c>
      <c r="AE104">
        <v>72.233410762646301</v>
      </c>
      <c r="AF104">
        <v>72.815572436157268</v>
      </c>
      <c r="AG104">
        <v>73.397734109668235</v>
      </c>
      <c r="AH104">
        <v>73.979895783179202</v>
      </c>
      <c r="AI104">
        <v>74.562057456690155</v>
      </c>
      <c r="AJ104">
        <v>75.144219130201137</v>
      </c>
      <c r="AK104">
        <v>75.726380803712104</v>
      </c>
      <c r="AL104">
        <v>76.308542477223071</v>
      </c>
      <c r="AM104">
        <v>76.890704150734024</v>
      </c>
      <c r="AN104">
        <v>77.472865824244991</v>
      </c>
      <c r="AO104">
        <v>78.055027497755972</v>
      </c>
      <c r="AP104">
        <v>78.63718917126694</v>
      </c>
      <c r="AQ104">
        <v>79.219350844777892</v>
      </c>
    </row>
    <row r="105" spans="13:43" x14ac:dyDescent="0.2">
      <c r="M105" s="51">
        <v>0.5</v>
      </c>
      <c r="N105">
        <v>22.5</v>
      </c>
      <c r="O105">
        <v>63.069547033906872</v>
      </c>
      <c r="P105">
        <v>63.581712729077815</v>
      </c>
      <c r="Q105">
        <v>64.093878424248743</v>
      </c>
      <c r="R105">
        <v>64.606044119419693</v>
      </c>
      <c r="S105">
        <v>65.118209814590628</v>
      </c>
      <c r="T105">
        <v>65.630375509761564</v>
      </c>
      <c r="U105">
        <v>66.142541204932499</v>
      </c>
      <c r="V105">
        <v>66.654706900103434</v>
      </c>
      <c r="W105">
        <v>67.16687259527437</v>
      </c>
      <c r="X105">
        <v>67.679038290445305</v>
      </c>
      <c r="Y105">
        <v>68.191203985616255</v>
      </c>
      <c r="Z105">
        <v>68.703369680787176</v>
      </c>
      <c r="AA105">
        <v>69.215535375958126</v>
      </c>
      <c r="AB105">
        <v>69.727701071129061</v>
      </c>
      <c r="AC105">
        <v>70.239866766299997</v>
      </c>
      <c r="AD105">
        <v>70.752032461470932</v>
      </c>
      <c r="AE105">
        <v>71.264198156641868</v>
      </c>
      <c r="AF105">
        <v>71.776363851812818</v>
      </c>
      <c r="AG105">
        <v>72.288529546983753</v>
      </c>
      <c r="AH105">
        <v>72.800695242154688</v>
      </c>
      <c r="AI105">
        <v>73.31286093732561</v>
      </c>
      <c r="AJ105">
        <v>73.825026632496559</v>
      </c>
      <c r="AK105">
        <v>74.337192327667509</v>
      </c>
      <c r="AL105">
        <v>74.849358022838445</v>
      </c>
      <c r="AM105">
        <v>75.36152371800938</v>
      </c>
      <c r="AN105">
        <v>75.873689413180315</v>
      </c>
      <c r="AO105">
        <v>76.385855108351251</v>
      </c>
      <c r="AP105">
        <v>76.898020803522186</v>
      </c>
      <c r="AQ105">
        <v>77.410186498693122</v>
      </c>
    </row>
    <row r="106" spans="13:43" x14ac:dyDescent="0.2">
      <c r="M106" s="50">
        <v>0.45</v>
      </c>
      <c r="N106">
        <v>21.75</v>
      </c>
      <c r="O106">
        <v>63.074912579284842</v>
      </c>
      <c r="P106">
        <v>63.520496734083572</v>
      </c>
      <c r="Q106">
        <v>63.966080888882281</v>
      </c>
      <c r="R106">
        <v>64.411665043680998</v>
      </c>
      <c r="S106">
        <v>64.857249198479721</v>
      </c>
      <c r="T106">
        <v>65.302833353278444</v>
      </c>
      <c r="U106">
        <v>65.748417508077154</v>
      </c>
      <c r="V106">
        <v>66.194001662875863</v>
      </c>
      <c r="W106">
        <v>66.639585817674572</v>
      </c>
      <c r="X106">
        <v>67.085169972473295</v>
      </c>
      <c r="Y106">
        <v>67.530754127272019</v>
      </c>
      <c r="Z106">
        <v>67.976338282070728</v>
      </c>
      <c r="AA106">
        <v>68.421922436869437</v>
      </c>
      <c r="AB106">
        <v>68.867506591668146</v>
      </c>
      <c r="AC106">
        <v>69.31309074646687</v>
      </c>
      <c r="AD106">
        <v>69.758674901265579</v>
      </c>
      <c r="AE106">
        <v>70.204259056064302</v>
      </c>
      <c r="AF106">
        <v>70.649843210863025</v>
      </c>
      <c r="AG106">
        <v>71.095427365661735</v>
      </c>
      <c r="AH106">
        <v>71.541011520460444</v>
      </c>
      <c r="AI106">
        <v>71.986595675259153</v>
      </c>
      <c r="AJ106">
        <v>72.432179830057876</v>
      </c>
      <c r="AK106">
        <v>72.8777639848566</v>
      </c>
      <c r="AL106">
        <v>73.323348139655323</v>
      </c>
      <c r="AM106">
        <v>73.768932294454032</v>
      </c>
      <c r="AN106">
        <v>74.214516449252741</v>
      </c>
      <c r="AO106">
        <v>74.660100604051465</v>
      </c>
      <c r="AP106">
        <v>75.105684758850188</v>
      </c>
      <c r="AQ106">
        <v>75.551268913648897</v>
      </c>
    </row>
    <row r="107" spans="13:43" x14ac:dyDescent="0.2">
      <c r="M107" s="51">
        <v>0.4</v>
      </c>
      <c r="N107">
        <v>21</v>
      </c>
      <c r="O107">
        <v>62.934920622604793</v>
      </c>
      <c r="P107">
        <v>63.317337674999095</v>
      </c>
      <c r="Q107">
        <v>63.69975472739339</v>
      </c>
      <c r="R107">
        <v>64.0821717797877</v>
      </c>
      <c r="S107">
        <v>64.464588832182002</v>
      </c>
      <c r="T107">
        <v>64.847005884576291</v>
      </c>
      <c r="U107">
        <v>65.229422936970593</v>
      </c>
      <c r="V107">
        <v>65.611839989364896</v>
      </c>
      <c r="W107">
        <v>65.994257041759198</v>
      </c>
      <c r="X107">
        <v>66.376674094153486</v>
      </c>
      <c r="Y107">
        <v>66.759091146547803</v>
      </c>
      <c r="Z107">
        <v>67.141508198942105</v>
      </c>
      <c r="AA107">
        <v>67.523925251336394</v>
      </c>
      <c r="AB107">
        <v>67.906342303730696</v>
      </c>
      <c r="AC107">
        <v>68.288759356124999</v>
      </c>
      <c r="AD107">
        <v>68.671176408519287</v>
      </c>
      <c r="AE107">
        <v>69.053593460913589</v>
      </c>
      <c r="AF107">
        <v>69.436010513307892</v>
      </c>
      <c r="AG107">
        <v>69.818427565702194</v>
      </c>
      <c r="AH107">
        <v>70.200844618096482</v>
      </c>
      <c r="AI107">
        <v>70.583261670490799</v>
      </c>
      <c r="AJ107">
        <v>70.965678722885102</v>
      </c>
      <c r="AK107">
        <v>71.34809577527939</v>
      </c>
      <c r="AL107">
        <v>71.730512827673692</v>
      </c>
      <c r="AM107">
        <v>72.112929880067995</v>
      </c>
      <c r="AN107">
        <v>72.495346932462297</v>
      </c>
      <c r="AO107">
        <v>72.877763984856585</v>
      </c>
      <c r="AP107">
        <v>73.260181037250888</v>
      </c>
      <c r="AQ107">
        <v>73.64259808964519</v>
      </c>
    </row>
    <row r="108" spans="13:43" x14ac:dyDescent="0.2">
      <c r="M108" s="50">
        <v>0.35</v>
      </c>
      <c r="N108">
        <v>20.25</v>
      </c>
      <c r="O108">
        <v>62.649571163866703</v>
      </c>
      <c r="P108">
        <v>62.972235551824397</v>
      </c>
      <c r="Q108">
        <v>63.294899939782084</v>
      </c>
      <c r="R108">
        <v>63.617564327739778</v>
      </c>
      <c r="S108">
        <v>63.940228715697472</v>
      </c>
      <c r="T108">
        <v>64.262893103655159</v>
      </c>
      <c r="U108">
        <v>64.58555749161286</v>
      </c>
      <c r="V108">
        <v>64.908221879570547</v>
      </c>
      <c r="W108">
        <v>65.230886267528234</v>
      </c>
      <c r="X108">
        <v>65.553550655485921</v>
      </c>
      <c r="Y108">
        <v>65.876215043443608</v>
      </c>
      <c r="Z108">
        <v>66.198879431401309</v>
      </c>
      <c r="AA108">
        <v>66.521543819358996</v>
      </c>
      <c r="AB108">
        <v>66.844208207316683</v>
      </c>
      <c r="AC108">
        <v>67.16687259527437</v>
      </c>
      <c r="AD108">
        <v>67.489536983232057</v>
      </c>
      <c r="AE108">
        <v>67.812201371189744</v>
      </c>
      <c r="AF108">
        <v>68.134865759147445</v>
      </c>
      <c r="AG108">
        <v>68.457530147105132</v>
      </c>
      <c r="AH108">
        <v>68.780194535062819</v>
      </c>
      <c r="AI108">
        <v>69.10285892302052</v>
      </c>
      <c r="AJ108">
        <v>69.425523310978207</v>
      </c>
      <c r="AK108">
        <v>69.748187698935894</v>
      </c>
      <c r="AL108">
        <v>70.070852086893595</v>
      </c>
      <c r="AM108">
        <v>70.393516474851282</v>
      </c>
      <c r="AN108">
        <v>70.716180862808983</v>
      </c>
      <c r="AO108">
        <v>71.038845250766656</v>
      </c>
      <c r="AP108">
        <v>71.361509638724357</v>
      </c>
      <c r="AQ108">
        <v>71.684174026682044</v>
      </c>
    </row>
    <row r="109" spans="13:43" x14ac:dyDescent="0.2">
      <c r="M109" s="51">
        <v>0.3</v>
      </c>
      <c r="N109">
        <v>19.5</v>
      </c>
      <c r="O109">
        <v>62.218864203070574</v>
      </c>
      <c r="P109">
        <v>62.485190364559465</v>
      </c>
      <c r="Q109">
        <v>62.751516526048349</v>
      </c>
      <c r="R109">
        <v>63.017842687537239</v>
      </c>
      <c r="S109">
        <v>63.28416884902613</v>
      </c>
      <c r="T109">
        <v>63.550495010515007</v>
      </c>
      <c r="U109">
        <v>63.816821172003898</v>
      </c>
      <c r="V109">
        <v>64.083147333492789</v>
      </c>
      <c r="W109">
        <v>64.349473494981666</v>
      </c>
      <c r="X109">
        <v>64.615799656470557</v>
      </c>
      <c r="Y109">
        <v>64.882125817959448</v>
      </c>
      <c r="Z109">
        <v>65.148451979448339</v>
      </c>
      <c r="AA109">
        <v>65.414778140937216</v>
      </c>
      <c r="AB109">
        <v>65.681104302426107</v>
      </c>
      <c r="AC109">
        <v>65.947430463914998</v>
      </c>
      <c r="AD109">
        <v>66.213756625403875</v>
      </c>
      <c r="AE109">
        <v>66.480082786892766</v>
      </c>
      <c r="AF109">
        <v>66.746408948381657</v>
      </c>
      <c r="AG109">
        <v>67.012735109870533</v>
      </c>
      <c r="AH109">
        <v>67.279061271359438</v>
      </c>
      <c r="AI109">
        <v>67.545387432848315</v>
      </c>
      <c r="AJ109">
        <v>67.81171359433722</v>
      </c>
      <c r="AK109">
        <v>68.078039755826097</v>
      </c>
      <c r="AL109">
        <v>68.344365917314988</v>
      </c>
      <c r="AM109">
        <v>68.610692078803879</v>
      </c>
      <c r="AN109">
        <v>68.877018240292756</v>
      </c>
      <c r="AO109">
        <v>69.143344401781647</v>
      </c>
      <c r="AP109">
        <v>69.409670563270538</v>
      </c>
      <c r="AQ109">
        <v>69.675996724759429</v>
      </c>
    </row>
    <row r="110" spans="13:43" x14ac:dyDescent="0.2">
      <c r="M110" s="50">
        <v>0.25</v>
      </c>
      <c r="N110">
        <v>18.75</v>
      </c>
      <c r="O110">
        <v>61.642799740216404</v>
      </c>
      <c r="P110">
        <v>61.85620211320429</v>
      </c>
      <c r="Q110">
        <v>62.069604486192191</v>
      </c>
      <c r="R110">
        <v>62.283006859180077</v>
      </c>
      <c r="S110">
        <v>62.496409232167963</v>
      </c>
      <c r="T110">
        <v>62.709811605155863</v>
      </c>
      <c r="U110">
        <v>62.92321397814375</v>
      </c>
      <c r="V110">
        <v>63.136616351131636</v>
      </c>
      <c r="W110">
        <v>63.350018724119536</v>
      </c>
      <c r="X110">
        <v>63.563421097107422</v>
      </c>
      <c r="Y110">
        <v>63.776823470095316</v>
      </c>
      <c r="Z110">
        <v>63.990225843083195</v>
      </c>
      <c r="AA110">
        <v>64.203628216071095</v>
      </c>
      <c r="AB110">
        <v>64.417030589058982</v>
      </c>
      <c r="AC110">
        <v>64.630432962046868</v>
      </c>
      <c r="AD110">
        <v>64.843835335034768</v>
      </c>
      <c r="AE110">
        <v>65.057237708022654</v>
      </c>
      <c r="AF110">
        <v>65.270640081010527</v>
      </c>
      <c r="AG110">
        <v>65.484042453998427</v>
      </c>
      <c r="AH110">
        <v>65.697444826986327</v>
      </c>
      <c r="AI110">
        <v>65.910847199974214</v>
      </c>
      <c r="AJ110">
        <v>66.124249572962114</v>
      </c>
      <c r="AK110">
        <v>66.33765194595</v>
      </c>
      <c r="AL110">
        <v>66.551054318937886</v>
      </c>
      <c r="AM110">
        <v>66.764456691925773</v>
      </c>
      <c r="AN110">
        <v>66.977859064913673</v>
      </c>
      <c r="AO110">
        <v>67.191261437901559</v>
      </c>
      <c r="AP110">
        <v>67.404663810889446</v>
      </c>
      <c r="AQ110">
        <v>67.618066183877346</v>
      </c>
    </row>
    <row r="111" spans="13:43" x14ac:dyDescent="0.2">
      <c r="M111" s="51">
        <v>0.2</v>
      </c>
      <c r="N111">
        <v>18</v>
      </c>
      <c r="O111">
        <v>60.921377775304201</v>
      </c>
      <c r="P111">
        <v>61.085270797758895</v>
      </c>
      <c r="Q111">
        <v>61.249163820213603</v>
      </c>
      <c r="R111">
        <v>61.413056842668311</v>
      </c>
      <c r="S111">
        <v>61.576949865123005</v>
      </c>
      <c r="T111">
        <v>61.740842887577699</v>
      </c>
      <c r="U111">
        <v>61.904735910032407</v>
      </c>
      <c r="V111">
        <v>62.068628932487101</v>
      </c>
      <c r="W111">
        <v>62.232521954941802</v>
      </c>
      <c r="X111">
        <v>62.396414977396503</v>
      </c>
      <c r="Y111">
        <v>62.560307999851197</v>
      </c>
      <c r="Z111">
        <v>62.724201022305898</v>
      </c>
      <c r="AA111">
        <v>62.888094044760606</v>
      </c>
      <c r="AB111">
        <v>63.051987067215293</v>
      </c>
      <c r="AC111">
        <v>63.215880089670001</v>
      </c>
      <c r="AD111">
        <v>63.379773112124695</v>
      </c>
      <c r="AE111">
        <v>63.543666134579396</v>
      </c>
      <c r="AF111">
        <v>63.707559157034098</v>
      </c>
      <c r="AG111">
        <v>63.871452179488799</v>
      </c>
      <c r="AH111">
        <v>64.0353452019435</v>
      </c>
      <c r="AI111">
        <v>64.199238224398201</v>
      </c>
      <c r="AJ111">
        <v>64.363131246852902</v>
      </c>
      <c r="AK111">
        <v>64.527024269307603</v>
      </c>
      <c r="AL111">
        <v>64.690917291762304</v>
      </c>
      <c r="AM111">
        <v>64.854810314217005</v>
      </c>
      <c r="AN111">
        <v>65.018703336671706</v>
      </c>
      <c r="AO111">
        <v>65.182596359126393</v>
      </c>
      <c r="AP111">
        <v>65.346489381581108</v>
      </c>
      <c r="AQ111">
        <v>65.510382404035809</v>
      </c>
    </row>
    <row r="112" spans="13:43" x14ac:dyDescent="0.2">
      <c r="M112" s="50">
        <v>0.15</v>
      </c>
      <c r="N112">
        <v>17.25</v>
      </c>
      <c r="O112">
        <v>60.054598308333965</v>
      </c>
      <c r="P112">
        <v>60.172396418223272</v>
      </c>
      <c r="Q112">
        <v>60.290194528112593</v>
      </c>
      <c r="R112">
        <v>60.4079926380019</v>
      </c>
      <c r="S112">
        <v>60.525790747891214</v>
      </c>
      <c r="T112">
        <v>60.643588857780536</v>
      </c>
      <c r="U112">
        <v>60.76138696766985</v>
      </c>
      <c r="V112">
        <v>60.879185077559157</v>
      </c>
      <c r="W112">
        <v>60.996983187448485</v>
      </c>
      <c r="X112">
        <v>61.1147812973378</v>
      </c>
      <c r="Y112">
        <v>61.232579407227114</v>
      </c>
      <c r="Z112">
        <v>61.350377517116428</v>
      </c>
      <c r="AA112">
        <v>61.468175627005749</v>
      </c>
      <c r="AB112">
        <v>61.585973736895056</v>
      </c>
      <c r="AC112">
        <v>61.703771846784377</v>
      </c>
      <c r="AD112">
        <v>61.821569956673692</v>
      </c>
      <c r="AE112">
        <v>61.939368066562992</v>
      </c>
      <c r="AF112">
        <v>62.05716617645232</v>
      </c>
      <c r="AG112">
        <v>62.174964286341634</v>
      </c>
      <c r="AH112">
        <v>62.292762396230955</v>
      </c>
      <c r="AI112">
        <v>62.410560506120277</v>
      </c>
      <c r="AJ112">
        <v>62.528358616009584</v>
      </c>
      <c r="AK112">
        <v>62.646156725898905</v>
      </c>
      <c r="AL112">
        <v>62.763954835788212</v>
      </c>
      <c r="AM112">
        <v>62.881752945677533</v>
      </c>
      <c r="AN112">
        <v>62.999551055566847</v>
      </c>
      <c r="AO112">
        <v>63.117349165456154</v>
      </c>
      <c r="AP112">
        <v>63.235147275345483</v>
      </c>
      <c r="AQ112">
        <v>63.35294538523479</v>
      </c>
    </row>
    <row r="113" spans="13:43" x14ac:dyDescent="0.2">
      <c r="M113" s="51">
        <v>0.1</v>
      </c>
      <c r="N113">
        <v>16.5</v>
      </c>
      <c r="O113">
        <v>59.042461339305675</v>
      </c>
      <c r="P113">
        <v>59.117578974597407</v>
      </c>
      <c r="Q113">
        <v>59.192696609889154</v>
      </c>
      <c r="R113">
        <v>59.267814245180887</v>
      </c>
      <c r="S113">
        <v>59.342931880472626</v>
      </c>
      <c r="T113">
        <v>59.418049515764366</v>
      </c>
      <c r="U113">
        <v>59.493167151056099</v>
      </c>
      <c r="V113">
        <v>59.568284786347839</v>
      </c>
      <c r="W113">
        <v>59.643402421639593</v>
      </c>
      <c r="X113">
        <v>59.718520056931311</v>
      </c>
      <c r="Y113">
        <v>59.793637692223044</v>
      </c>
      <c r="Z113">
        <v>59.868755327514791</v>
      </c>
      <c r="AA113">
        <v>59.943872962806523</v>
      </c>
      <c r="AB113">
        <v>60.018990598098263</v>
      </c>
      <c r="AC113">
        <v>60.094108233390003</v>
      </c>
      <c r="AD113">
        <v>60.169225868681735</v>
      </c>
      <c r="AE113">
        <v>60.244343503973475</v>
      </c>
      <c r="AF113">
        <v>60.319461139265215</v>
      </c>
      <c r="AG113">
        <v>60.394578774556948</v>
      </c>
      <c r="AH113">
        <v>60.469696409848694</v>
      </c>
      <c r="AI113">
        <v>60.544814045140427</v>
      </c>
      <c r="AJ113">
        <v>60.61993168043216</v>
      </c>
      <c r="AK113">
        <v>60.695049315723892</v>
      </c>
      <c r="AL113">
        <v>60.770166951015639</v>
      </c>
      <c r="AM113">
        <v>60.845284586307379</v>
      </c>
      <c r="AN113">
        <v>60.920402221599112</v>
      </c>
      <c r="AO113">
        <v>60.995519856890851</v>
      </c>
      <c r="AP113">
        <v>61.070637492182591</v>
      </c>
      <c r="AQ113">
        <v>61.145755127474324</v>
      </c>
    </row>
    <row r="114" spans="13:43" x14ac:dyDescent="0.2">
      <c r="M114" s="50">
        <v>0.05</v>
      </c>
      <c r="N114">
        <v>15.75</v>
      </c>
      <c r="O114">
        <v>57.884966868219351</v>
      </c>
      <c r="P114">
        <v>57.920818466881329</v>
      </c>
      <c r="Q114">
        <v>57.956670065543285</v>
      </c>
      <c r="R114">
        <v>57.992521664205256</v>
      </c>
      <c r="S114">
        <v>58.02837326286722</v>
      </c>
      <c r="T114">
        <v>58.064224861529176</v>
      </c>
      <c r="U114">
        <v>58.100076460191147</v>
      </c>
      <c r="V114">
        <v>58.135928058853125</v>
      </c>
      <c r="W114">
        <v>58.171779657515081</v>
      </c>
      <c r="X114">
        <v>58.207631256177052</v>
      </c>
      <c r="Y114">
        <v>58.243482854839016</v>
      </c>
      <c r="Z114">
        <v>58.279334453500972</v>
      </c>
      <c r="AA114">
        <v>58.31518605216295</v>
      </c>
      <c r="AB114">
        <v>58.351037650824914</v>
      </c>
      <c r="AC114">
        <v>58.386889249486885</v>
      </c>
      <c r="AD114">
        <v>58.422740848148841</v>
      </c>
      <c r="AE114">
        <v>58.458592446810812</v>
      </c>
      <c r="AF114">
        <v>58.494444045472775</v>
      </c>
      <c r="AG114">
        <v>58.530295644134739</v>
      </c>
      <c r="AH114">
        <v>58.56614724279671</v>
      </c>
      <c r="AI114">
        <v>58.601998841458659</v>
      </c>
      <c r="AJ114">
        <v>58.63785044012063</v>
      </c>
      <c r="AK114">
        <v>58.673702038782608</v>
      </c>
      <c r="AL114">
        <v>58.709553637444571</v>
      </c>
      <c r="AM114">
        <v>58.745405236106528</v>
      </c>
      <c r="AN114">
        <v>58.781256834768499</v>
      </c>
      <c r="AO114">
        <v>58.817108433430469</v>
      </c>
      <c r="AP114">
        <v>58.852960032092426</v>
      </c>
      <c r="AQ114">
        <v>58.88881163075439</v>
      </c>
    </row>
    <row r="115" spans="13:43" x14ac:dyDescent="0.2">
      <c r="M115" s="51">
        <v>0</v>
      </c>
      <c r="N115" s="24">
        <v>15</v>
      </c>
      <c r="O115">
        <v>56.582114895074994</v>
      </c>
      <c r="P115">
        <v>56.582114895074994</v>
      </c>
      <c r="Q115">
        <v>56.582114895074994</v>
      </c>
      <c r="R115">
        <v>56.582114895074994</v>
      </c>
      <c r="S115">
        <v>56.582114895074994</v>
      </c>
      <c r="T115">
        <v>56.582114895074994</v>
      </c>
      <c r="U115">
        <v>56.582114895074994</v>
      </c>
      <c r="V115">
        <v>56.582114895074994</v>
      </c>
      <c r="W115">
        <v>56.582114895074994</v>
      </c>
      <c r="X115">
        <v>56.582114895074994</v>
      </c>
      <c r="Y115">
        <v>56.582114895074994</v>
      </c>
      <c r="Z115">
        <v>56.582114895074994</v>
      </c>
      <c r="AA115">
        <v>56.582114895074994</v>
      </c>
      <c r="AB115">
        <v>56.582114895074994</v>
      </c>
      <c r="AC115">
        <v>56.582114895074994</v>
      </c>
      <c r="AD115">
        <v>56.582114895074994</v>
      </c>
      <c r="AE115">
        <v>56.582114895074994</v>
      </c>
      <c r="AF115">
        <v>56.582114895074994</v>
      </c>
      <c r="AG115">
        <v>56.582114895074994</v>
      </c>
      <c r="AH115">
        <v>56.582114895074994</v>
      </c>
      <c r="AI115">
        <v>56.582114895074994</v>
      </c>
      <c r="AJ115">
        <v>56.582114895074994</v>
      </c>
      <c r="AK115">
        <v>56.582114895074994</v>
      </c>
      <c r="AL115">
        <v>56.582114895074994</v>
      </c>
      <c r="AM115">
        <v>56.582114895074994</v>
      </c>
      <c r="AN115">
        <v>56.582114895074994</v>
      </c>
      <c r="AO115">
        <v>56.582114895074994</v>
      </c>
      <c r="AP115">
        <v>56.582114895074994</v>
      </c>
      <c r="AQ115">
        <v>56.582114895074994</v>
      </c>
    </row>
    <row r="116" spans="13:43" x14ac:dyDescent="0.2">
      <c r="M116" s="51">
        <v>-4.9999999999998997E-2</v>
      </c>
      <c r="N116">
        <v>14.250000000000014</v>
      </c>
      <c r="O116">
        <v>55.133905419872626</v>
      </c>
      <c r="P116">
        <v>55.101468259178482</v>
      </c>
      <c r="Q116">
        <v>55.069031098484317</v>
      </c>
      <c r="R116">
        <v>55.036593937790151</v>
      </c>
      <c r="S116">
        <v>55.004156777096</v>
      </c>
      <c r="T116">
        <v>54.971719616401835</v>
      </c>
      <c r="U116">
        <v>54.939282455707676</v>
      </c>
      <c r="V116">
        <v>54.906845295013525</v>
      </c>
      <c r="W116">
        <v>54.874408134319367</v>
      </c>
      <c r="X116">
        <v>54.841970973625202</v>
      </c>
      <c r="Y116">
        <v>54.809533812931051</v>
      </c>
      <c r="Z116">
        <v>54.777096652236885</v>
      </c>
      <c r="AA116">
        <v>54.74465949154272</v>
      </c>
      <c r="AB116">
        <v>54.712222330848569</v>
      </c>
      <c r="AC116">
        <v>54.67978517015441</v>
      </c>
      <c r="AD116">
        <v>54.647348009460245</v>
      </c>
      <c r="AE116">
        <v>54.614910848766101</v>
      </c>
      <c r="AF116">
        <v>54.582473688071936</v>
      </c>
      <c r="AG116">
        <v>54.55003652737777</v>
      </c>
      <c r="AH116">
        <v>54.517599366683626</v>
      </c>
      <c r="AI116">
        <v>54.485162205989461</v>
      </c>
      <c r="AJ116">
        <v>54.452725045295296</v>
      </c>
      <c r="AK116">
        <v>54.420287884601137</v>
      </c>
      <c r="AL116">
        <v>54.387850723906986</v>
      </c>
      <c r="AM116">
        <v>54.355413563212821</v>
      </c>
      <c r="AN116">
        <v>54.322976402518663</v>
      </c>
      <c r="AO116">
        <v>54.290539241824504</v>
      </c>
      <c r="AP116">
        <v>54.258102081130346</v>
      </c>
      <c r="AQ116">
        <v>54.225664920436188</v>
      </c>
    </row>
    <row r="117" spans="13:43" x14ac:dyDescent="0.2">
      <c r="M117" s="50">
        <v>-9.9999999999999103E-2</v>
      </c>
      <c r="N117">
        <v>13.500000000000014</v>
      </c>
      <c r="O117">
        <v>53.54033844261221</v>
      </c>
      <c r="P117">
        <v>53.478878559191699</v>
      </c>
      <c r="Q117">
        <v>53.417418675771174</v>
      </c>
      <c r="R117">
        <v>53.35595879235067</v>
      </c>
      <c r="S117">
        <v>53.294498908930152</v>
      </c>
      <c r="T117">
        <v>53.233039025509648</v>
      </c>
      <c r="U117">
        <v>53.171579142089129</v>
      </c>
      <c r="V117">
        <v>53.110119258668625</v>
      </c>
      <c r="W117">
        <v>53.048659375248107</v>
      </c>
      <c r="X117">
        <v>52.987199491827596</v>
      </c>
      <c r="Y117">
        <v>52.925739608407085</v>
      </c>
      <c r="Z117">
        <v>52.864279724986574</v>
      </c>
      <c r="AA117">
        <v>52.80281984156607</v>
      </c>
      <c r="AB117">
        <v>52.741359958145544</v>
      </c>
      <c r="AC117">
        <v>52.67990007472504</v>
      </c>
      <c r="AD117">
        <v>52.618440191304522</v>
      </c>
      <c r="AE117">
        <v>52.556980307884018</v>
      </c>
      <c r="AF117">
        <v>52.495520424463493</v>
      </c>
      <c r="AG117">
        <v>52.434060541042989</v>
      </c>
      <c r="AH117">
        <v>52.372600657622478</v>
      </c>
      <c r="AI117">
        <v>52.311140774201967</v>
      </c>
      <c r="AJ117">
        <v>52.249680890781455</v>
      </c>
      <c r="AK117">
        <v>52.188221007360937</v>
      </c>
      <c r="AL117">
        <v>52.126761123940433</v>
      </c>
      <c r="AM117">
        <v>52.065301240519915</v>
      </c>
      <c r="AN117">
        <v>52.003841357099404</v>
      </c>
      <c r="AO117">
        <v>51.9423814736789</v>
      </c>
      <c r="AP117">
        <v>51.880921590258382</v>
      </c>
      <c r="AQ117">
        <v>51.819461706837878</v>
      </c>
    </row>
    <row r="118" spans="13:43" x14ac:dyDescent="0.2">
      <c r="M118" s="51">
        <v>-0.149999999999999</v>
      </c>
      <c r="N118">
        <v>12.750000000000014</v>
      </c>
      <c r="O118">
        <v>51.80141396329374</v>
      </c>
      <c r="P118">
        <v>51.714345795114681</v>
      </c>
      <c r="Q118">
        <v>51.627277626935616</v>
      </c>
      <c r="R118">
        <v>51.540209458756564</v>
      </c>
      <c r="S118">
        <v>51.453141290577506</v>
      </c>
      <c r="T118">
        <v>51.36607312239844</v>
      </c>
      <c r="U118">
        <v>51.279004954219388</v>
      </c>
      <c r="V118">
        <v>51.191936786040323</v>
      </c>
      <c r="W118">
        <v>51.104868617861278</v>
      </c>
      <c r="X118">
        <v>51.017800449682213</v>
      </c>
      <c r="Y118">
        <v>50.930732281503147</v>
      </c>
      <c r="Z118">
        <v>50.843664113324095</v>
      </c>
      <c r="AA118">
        <v>50.756595945145037</v>
      </c>
      <c r="AB118">
        <v>50.669527776965971</v>
      </c>
      <c r="AC118">
        <v>50.58245960878692</v>
      </c>
      <c r="AD118">
        <v>50.495391440607854</v>
      </c>
      <c r="AE118">
        <v>50.408323272428802</v>
      </c>
      <c r="AF118">
        <v>50.321255104249744</v>
      </c>
      <c r="AG118">
        <v>50.234186936070678</v>
      </c>
      <c r="AH118">
        <v>50.147118767891627</v>
      </c>
      <c r="AI118">
        <v>50.060050599712568</v>
      </c>
      <c r="AJ118">
        <v>49.972982431533502</v>
      </c>
      <c r="AK118">
        <v>49.885914263354437</v>
      </c>
      <c r="AL118">
        <v>49.798846095175392</v>
      </c>
      <c r="AM118">
        <v>49.711777926996326</v>
      </c>
      <c r="AN118">
        <v>49.624709758817268</v>
      </c>
      <c r="AO118">
        <v>49.537641590638209</v>
      </c>
      <c r="AP118">
        <v>49.450573422459144</v>
      </c>
      <c r="AQ118">
        <v>49.363505254280092</v>
      </c>
    </row>
    <row r="119" spans="13:43" x14ac:dyDescent="0.2">
      <c r="M119" s="50">
        <v>-0.19999999999999901</v>
      </c>
      <c r="N119">
        <v>12.000000000000014</v>
      </c>
      <c r="O119">
        <v>49.917131981917237</v>
      </c>
      <c r="P119">
        <v>49.807869966947436</v>
      </c>
      <c r="Q119">
        <v>49.698607951977635</v>
      </c>
      <c r="R119">
        <v>49.589345937007835</v>
      </c>
      <c r="S119">
        <v>49.480083922038034</v>
      </c>
      <c r="T119">
        <v>49.370821907068233</v>
      </c>
      <c r="U119">
        <v>49.261559892098433</v>
      </c>
      <c r="V119">
        <v>49.152297877128632</v>
      </c>
      <c r="W119">
        <v>49.043035862158845</v>
      </c>
      <c r="X119">
        <v>48.933773847189038</v>
      </c>
      <c r="Y119">
        <v>48.824511832219237</v>
      </c>
      <c r="Z119">
        <v>48.715249817249443</v>
      </c>
      <c r="AA119">
        <v>48.605987802279643</v>
      </c>
      <c r="AB119">
        <v>48.496725787309849</v>
      </c>
      <c r="AC119">
        <v>48.387463772340041</v>
      </c>
      <c r="AD119">
        <v>48.278201757370255</v>
      </c>
      <c r="AE119">
        <v>48.16893974240044</v>
      </c>
      <c r="AF119">
        <v>48.059677727430646</v>
      </c>
      <c r="AG119">
        <v>47.950415712460838</v>
      </c>
      <c r="AH119">
        <v>47.841153697491045</v>
      </c>
      <c r="AI119">
        <v>47.731891682521251</v>
      </c>
      <c r="AJ119">
        <v>47.62262966755145</v>
      </c>
      <c r="AK119">
        <v>47.513367652581643</v>
      </c>
      <c r="AL119">
        <v>47.404105637611842</v>
      </c>
      <c r="AM119">
        <v>47.294843622642041</v>
      </c>
      <c r="AN119">
        <v>47.185581607672241</v>
      </c>
      <c r="AO119">
        <v>47.076319592702454</v>
      </c>
      <c r="AP119">
        <v>46.967057577732653</v>
      </c>
      <c r="AQ119">
        <v>46.857795562762838</v>
      </c>
    </row>
    <row r="120" spans="13:43" x14ac:dyDescent="0.2">
      <c r="M120" s="51">
        <v>-0.249999999999999</v>
      </c>
      <c r="N120">
        <v>11.250000000000014</v>
      </c>
      <c r="O120">
        <v>47.887492498482693</v>
      </c>
      <c r="P120">
        <v>47.759451074689963</v>
      </c>
      <c r="Q120">
        <v>47.631409650897233</v>
      </c>
      <c r="R120">
        <v>47.503368227104488</v>
      </c>
      <c r="S120">
        <v>47.375326803311765</v>
      </c>
      <c r="T120">
        <v>47.247285379519028</v>
      </c>
      <c r="U120">
        <v>47.119243955726297</v>
      </c>
      <c r="V120">
        <v>46.991202531933553</v>
      </c>
      <c r="W120">
        <v>46.863161108140829</v>
      </c>
      <c r="X120">
        <v>46.735119684348085</v>
      </c>
      <c r="Y120">
        <v>46.607078260555355</v>
      </c>
      <c r="Z120">
        <v>46.479036836762631</v>
      </c>
      <c r="AA120">
        <v>46.350995412969894</v>
      </c>
      <c r="AB120">
        <v>46.222953989177157</v>
      </c>
      <c r="AC120">
        <v>46.094912565384419</v>
      </c>
      <c r="AD120">
        <v>45.966871141591696</v>
      </c>
      <c r="AE120">
        <v>45.838829717798944</v>
      </c>
      <c r="AF120">
        <v>45.710788294006221</v>
      </c>
      <c r="AG120">
        <v>45.582746870213484</v>
      </c>
      <c r="AH120">
        <v>45.45470544642076</v>
      </c>
      <c r="AI120">
        <v>45.326664022628023</v>
      </c>
      <c r="AJ120">
        <v>45.198622598835279</v>
      </c>
      <c r="AK120">
        <v>45.070581175042548</v>
      </c>
      <c r="AL120">
        <v>44.942539751249804</v>
      </c>
      <c r="AM120">
        <v>44.814498327457073</v>
      </c>
      <c r="AN120">
        <v>44.686456903664343</v>
      </c>
      <c r="AO120">
        <v>44.558415479871613</v>
      </c>
      <c r="AP120">
        <v>44.430374056078875</v>
      </c>
      <c r="AQ120">
        <v>44.302332632286145</v>
      </c>
    </row>
    <row r="121" spans="13:43" x14ac:dyDescent="0.2">
      <c r="M121" s="50">
        <v>-0.29999999999999899</v>
      </c>
      <c r="N121">
        <v>10.500000000000016</v>
      </c>
      <c r="O121">
        <v>45.712495512990117</v>
      </c>
      <c r="P121">
        <v>45.569089118342269</v>
      </c>
      <c r="Q121">
        <v>45.425682723694408</v>
      </c>
      <c r="R121">
        <v>45.282276329046539</v>
      </c>
      <c r="S121">
        <v>45.138869934398677</v>
      </c>
      <c r="T121">
        <v>44.995463539750808</v>
      </c>
      <c r="U121">
        <v>44.852057145102954</v>
      </c>
      <c r="V121">
        <v>44.708650750455085</v>
      </c>
      <c r="W121">
        <v>44.565244355807231</v>
      </c>
      <c r="X121">
        <v>44.421837961159369</v>
      </c>
      <c r="Y121">
        <v>44.2784315665115</v>
      </c>
      <c r="Z121">
        <v>44.135025171863646</v>
      </c>
      <c r="AA121">
        <v>43.991618777215777</v>
      </c>
      <c r="AB121">
        <v>43.848212382567922</v>
      </c>
      <c r="AC121">
        <v>43.704805987920054</v>
      </c>
      <c r="AD121">
        <v>43.561399593272192</v>
      </c>
      <c r="AE121">
        <v>43.41799319862433</v>
      </c>
      <c r="AF121">
        <v>43.274586803976476</v>
      </c>
      <c r="AG121">
        <v>43.131180409328607</v>
      </c>
      <c r="AH121">
        <v>42.987774014680745</v>
      </c>
      <c r="AI121">
        <v>42.844367620032884</v>
      </c>
      <c r="AJ121">
        <v>42.700961225385022</v>
      </c>
      <c r="AK121">
        <v>42.557554830737161</v>
      </c>
      <c r="AL121">
        <v>42.414148436089292</v>
      </c>
      <c r="AM121">
        <v>42.27074204144143</v>
      </c>
      <c r="AN121">
        <v>42.127335646793568</v>
      </c>
      <c r="AO121">
        <v>41.983929252145707</v>
      </c>
      <c r="AP121">
        <v>41.840522857497845</v>
      </c>
      <c r="AQ121">
        <v>41.697116462849991</v>
      </c>
    </row>
    <row r="122" spans="13:43" x14ac:dyDescent="0.2">
      <c r="M122" s="51">
        <v>-0.35</v>
      </c>
      <c r="N122">
        <v>9.75</v>
      </c>
      <c r="O122">
        <v>43.392141025439457</v>
      </c>
      <c r="P122">
        <v>43.236784097904277</v>
      </c>
      <c r="Q122">
        <v>43.081427170369082</v>
      </c>
      <c r="R122">
        <v>42.926070242833909</v>
      </c>
      <c r="S122">
        <v>42.770713315298721</v>
      </c>
      <c r="T122">
        <v>42.615356387763541</v>
      </c>
      <c r="U122">
        <v>42.459999460228353</v>
      </c>
      <c r="V122">
        <v>42.304642532693165</v>
      </c>
      <c r="W122">
        <v>42.149285605157985</v>
      </c>
      <c r="X122">
        <v>41.993928677622804</v>
      </c>
      <c r="Y122">
        <v>41.83857175008761</v>
      </c>
      <c r="Z122">
        <v>41.683214822552429</v>
      </c>
      <c r="AA122">
        <v>41.527857895017249</v>
      </c>
      <c r="AB122">
        <v>41.372500967482061</v>
      </c>
      <c r="AC122">
        <v>41.217144039946881</v>
      </c>
      <c r="AD122">
        <v>41.061787112411693</v>
      </c>
      <c r="AE122">
        <v>40.906430184876506</v>
      </c>
      <c r="AF122">
        <v>40.751073257341325</v>
      </c>
      <c r="AG122">
        <v>40.595716329806152</v>
      </c>
      <c r="AH122">
        <v>40.44035940227095</v>
      </c>
      <c r="AI122">
        <v>40.285002474735776</v>
      </c>
      <c r="AJ122">
        <v>40.129645547200589</v>
      </c>
      <c r="AK122">
        <v>39.974288619665401</v>
      </c>
      <c r="AL122">
        <v>39.818931692130221</v>
      </c>
      <c r="AM122">
        <v>39.66357476459504</v>
      </c>
      <c r="AN122">
        <v>39.508217837059853</v>
      </c>
      <c r="AO122">
        <v>39.352860909524665</v>
      </c>
      <c r="AP122">
        <v>39.197503981989485</v>
      </c>
      <c r="AQ122">
        <v>39.042147054454297</v>
      </c>
    </row>
    <row r="123" spans="13:43" x14ac:dyDescent="0.2">
      <c r="M123" s="50">
        <v>-0.4</v>
      </c>
      <c r="N123">
        <v>9</v>
      </c>
      <c r="O123">
        <v>40.926429035830807</v>
      </c>
      <c r="P123">
        <v>40.762536013376106</v>
      </c>
      <c r="Q123">
        <v>40.598642990921405</v>
      </c>
      <c r="R123">
        <v>40.434749968466704</v>
      </c>
      <c r="S123">
        <v>40.270856946012003</v>
      </c>
      <c r="T123">
        <v>40.106963923557302</v>
      </c>
      <c r="U123">
        <v>39.943070901102601</v>
      </c>
      <c r="V123">
        <v>39.7791778786479</v>
      </c>
      <c r="W123">
        <v>39.615284856193206</v>
      </c>
      <c r="X123">
        <v>39.451391833738505</v>
      </c>
      <c r="Y123">
        <v>39.287498811283797</v>
      </c>
      <c r="Z123">
        <v>39.123605788829103</v>
      </c>
      <c r="AA123">
        <v>38.959712766374402</v>
      </c>
      <c r="AB123">
        <v>38.795819743919708</v>
      </c>
      <c r="AC123">
        <v>38.631926721465007</v>
      </c>
      <c r="AD123">
        <v>38.468033699010306</v>
      </c>
      <c r="AE123">
        <v>38.304140676555605</v>
      </c>
      <c r="AF123">
        <v>38.140247654100904</v>
      </c>
      <c r="AG123">
        <v>37.97635463164621</v>
      </c>
      <c r="AH123">
        <v>37.812461609191509</v>
      </c>
      <c r="AI123">
        <v>37.648568586736808</v>
      </c>
      <c r="AJ123">
        <v>37.484675564282099</v>
      </c>
      <c r="AK123">
        <v>37.320782541827413</v>
      </c>
      <c r="AL123">
        <v>37.156889519372704</v>
      </c>
      <c r="AM123">
        <v>36.992996496918003</v>
      </c>
      <c r="AN123">
        <v>36.829103474463302</v>
      </c>
      <c r="AO123">
        <v>36.665210452008608</v>
      </c>
      <c r="AP123">
        <v>36.5013174295539</v>
      </c>
      <c r="AQ123">
        <v>36.337424407099199</v>
      </c>
    </row>
    <row r="124" spans="13:43" x14ac:dyDescent="0.2">
      <c r="M124" s="51">
        <v>-0.45</v>
      </c>
      <c r="N124">
        <v>8.25</v>
      </c>
      <c r="O124">
        <v>38.31535954416411</v>
      </c>
      <c r="P124">
        <v>38.146344864757694</v>
      </c>
      <c r="Q124">
        <v>37.977330185351285</v>
      </c>
      <c r="R124">
        <v>37.808315505944876</v>
      </c>
      <c r="S124">
        <v>37.639300826538474</v>
      </c>
      <c r="T124">
        <v>37.470286147132057</v>
      </c>
      <c r="U124">
        <v>37.301271467725655</v>
      </c>
      <c r="V124">
        <v>37.132256788319246</v>
      </c>
      <c r="W124">
        <v>36.963242108912837</v>
      </c>
      <c r="X124">
        <v>36.794227429506421</v>
      </c>
      <c r="Y124">
        <v>36.625212750100012</v>
      </c>
      <c r="Z124">
        <v>36.456198070693603</v>
      </c>
      <c r="AA124">
        <v>36.287183391287194</v>
      </c>
      <c r="AB124">
        <v>36.118168711880791</v>
      </c>
      <c r="AC124">
        <v>35.949154032474375</v>
      </c>
      <c r="AD124">
        <v>35.780139353067973</v>
      </c>
      <c r="AE124">
        <v>35.611124673661564</v>
      </c>
      <c r="AF124">
        <v>35.442109994255148</v>
      </c>
      <c r="AG124">
        <v>35.273095314848746</v>
      </c>
      <c r="AH124">
        <v>35.10408063544233</v>
      </c>
      <c r="AI124">
        <v>34.935065956035928</v>
      </c>
      <c r="AJ124">
        <v>34.766051276629511</v>
      </c>
      <c r="AK124">
        <v>34.597036597223102</v>
      </c>
      <c r="AL124">
        <v>34.428021917816693</v>
      </c>
      <c r="AM124">
        <v>34.259007238410291</v>
      </c>
      <c r="AN124">
        <v>34.089992559003875</v>
      </c>
      <c r="AO124">
        <v>33.920977879597473</v>
      </c>
      <c r="AP124">
        <v>33.751963200191049</v>
      </c>
      <c r="AQ124">
        <v>33.582948520784647</v>
      </c>
    </row>
    <row r="125" spans="13:43" x14ac:dyDescent="0.2">
      <c r="M125" s="50">
        <v>-0.5</v>
      </c>
      <c r="N125">
        <v>7.5</v>
      </c>
      <c r="O125">
        <v>35.55893255043938</v>
      </c>
      <c r="P125">
        <v>35.388210652049068</v>
      </c>
      <c r="Q125">
        <v>35.217488753658749</v>
      </c>
      <c r="R125">
        <v>35.046766855268437</v>
      </c>
      <c r="S125">
        <v>34.876044956878133</v>
      </c>
      <c r="T125">
        <v>34.705323058487814</v>
      </c>
      <c r="U125">
        <v>34.534601160097502</v>
      </c>
      <c r="V125">
        <v>34.36387926170719</v>
      </c>
      <c r="W125">
        <v>34.193157363316878</v>
      </c>
      <c r="X125">
        <v>34.022435464926566</v>
      </c>
      <c r="Y125">
        <v>33.851713566536255</v>
      </c>
      <c r="Z125">
        <v>33.680991668145943</v>
      </c>
      <c r="AA125">
        <v>33.510269769755631</v>
      </c>
      <c r="AB125">
        <v>33.339547871365319</v>
      </c>
      <c r="AC125">
        <v>33.168825972975</v>
      </c>
      <c r="AD125">
        <v>32.998104074584695</v>
      </c>
      <c r="AE125">
        <v>32.827382176194384</v>
      </c>
      <c r="AF125">
        <v>32.656660277804072</v>
      </c>
      <c r="AG125">
        <v>32.485938379413753</v>
      </c>
      <c r="AH125">
        <v>32.315216481023441</v>
      </c>
      <c r="AI125">
        <v>32.144494582633129</v>
      </c>
      <c r="AJ125">
        <v>31.973772684242817</v>
      </c>
      <c r="AK125">
        <v>31.803050785852506</v>
      </c>
      <c r="AL125">
        <v>31.632328887462187</v>
      </c>
      <c r="AM125">
        <v>31.461606989071875</v>
      </c>
      <c r="AN125">
        <v>31.290885090681567</v>
      </c>
      <c r="AO125">
        <v>31.120163192291251</v>
      </c>
      <c r="AP125">
        <v>30.949441293900939</v>
      </c>
      <c r="AQ125">
        <v>30.778719395510624</v>
      </c>
    </row>
    <row r="126" spans="13:43" x14ac:dyDescent="0.2">
      <c r="M126" s="51">
        <v>-0.55000000000000004</v>
      </c>
      <c r="N126">
        <v>6.7499999999999991</v>
      </c>
      <c r="O126">
        <v>32.657148054656602</v>
      </c>
      <c r="P126">
        <v>32.488133375250186</v>
      </c>
      <c r="Q126">
        <v>32.319118695843784</v>
      </c>
      <c r="R126">
        <v>32.150104016437375</v>
      </c>
      <c r="S126">
        <v>31.981089337030966</v>
      </c>
      <c r="T126">
        <v>31.812074657624557</v>
      </c>
      <c r="U126">
        <v>31.643059978218151</v>
      </c>
      <c r="V126">
        <v>31.474045298811738</v>
      </c>
      <c r="W126">
        <v>31.305030619405326</v>
      </c>
      <c r="X126">
        <v>31.136015939998916</v>
      </c>
      <c r="Y126">
        <v>30.967001260592511</v>
      </c>
      <c r="Z126">
        <v>30.797986581186098</v>
      </c>
      <c r="AA126">
        <v>30.628971901779689</v>
      </c>
      <c r="AB126">
        <v>30.459957222373276</v>
      </c>
      <c r="AC126">
        <v>30.290942542966874</v>
      </c>
      <c r="AD126">
        <v>30.121927863560465</v>
      </c>
      <c r="AE126">
        <v>29.95291318415406</v>
      </c>
      <c r="AF126">
        <v>29.783898504747647</v>
      </c>
      <c r="AG126">
        <v>29.614883825341238</v>
      </c>
      <c r="AH126">
        <v>29.445869145934825</v>
      </c>
      <c r="AI126">
        <v>29.276854466528423</v>
      </c>
      <c r="AJ126">
        <v>29.107839787122007</v>
      </c>
      <c r="AK126">
        <v>28.938825107715598</v>
      </c>
      <c r="AL126">
        <v>28.769810428309189</v>
      </c>
      <c r="AM126">
        <v>28.60079574890278</v>
      </c>
      <c r="AN126">
        <v>28.43178106949637</v>
      </c>
      <c r="AO126">
        <v>28.262766390089958</v>
      </c>
      <c r="AP126">
        <v>28.093751710683549</v>
      </c>
      <c r="AQ126">
        <v>27.924737031277139</v>
      </c>
    </row>
    <row r="127" spans="13:43" x14ac:dyDescent="0.2">
      <c r="M127" s="50">
        <v>-0.6</v>
      </c>
      <c r="N127">
        <v>6</v>
      </c>
      <c r="O127">
        <v>29.610006056815806</v>
      </c>
      <c r="P127">
        <v>29.446113034361098</v>
      </c>
      <c r="Q127">
        <v>29.2822200119064</v>
      </c>
      <c r="R127">
        <v>29.118326989451695</v>
      </c>
      <c r="S127">
        <v>28.954433966996998</v>
      </c>
      <c r="T127">
        <v>28.790540944542304</v>
      </c>
      <c r="U127">
        <v>28.626647922087599</v>
      </c>
      <c r="V127">
        <v>28.462754899632898</v>
      </c>
      <c r="W127">
        <v>28.298861877178204</v>
      </c>
      <c r="X127">
        <v>28.1349688547235</v>
      </c>
      <c r="Y127">
        <v>27.971075832268795</v>
      </c>
      <c r="Z127">
        <v>27.807182809814098</v>
      </c>
      <c r="AA127">
        <v>27.643289787359404</v>
      </c>
      <c r="AB127">
        <v>27.479396764904699</v>
      </c>
      <c r="AC127">
        <v>27.315503742449998</v>
      </c>
      <c r="AD127">
        <v>27.151610719995304</v>
      </c>
      <c r="AE127">
        <v>26.987717697540603</v>
      </c>
      <c r="AF127">
        <v>26.823824675085909</v>
      </c>
      <c r="AG127">
        <v>26.659931652631204</v>
      </c>
      <c r="AH127">
        <v>26.496038630176507</v>
      </c>
      <c r="AI127">
        <v>26.332145607721806</v>
      </c>
      <c r="AJ127">
        <v>26.168252585267098</v>
      </c>
      <c r="AK127">
        <v>26.004359562812397</v>
      </c>
      <c r="AL127">
        <v>25.840466540357699</v>
      </c>
      <c r="AM127">
        <v>25.676573517903002</v>
      </c>
      <c r="AN127">
        <v>25.512680495448301</v>
      </c>
      <c r="AO127">
        <v>25.348787472993603</v>
      </c>
      <c r="AP127">
        <v>25.184894450538902</v>
      </c>
      <c r="AQ127">
        <v>25.021001428084197</v>
      </c>
    </row>
    <row r="128" spans="13:43" x14ac:dyDescent="0.2">
      <c r="M128" s="51">
        <v>-0.65</v>
      </c>
      <c r="N128">
        <v>5.25</v>
      </c>
      <c r="O128">
        <v>26.417506556916958</v>
      </c>
      <c r="P128">
        <v>26.262149629381774</v>
      </c>
      <c r="Q128">
        <v>26.10679270184659</v>
      </c>
      <c r="R128">
        <v>25.951435774311403</v>
      </c>
      <c r="S128">
        <v>25.796078846776219</v>
      </c>
      <c r="T128">
        <v>25.640721919241034</v>
      </c>
      <c r="U128">
        <v>25.48536499170585</v>
      </c>
      <c r="V128">
        <v>25.330008064170666</v>
      </c>
      <c r="W128">
        <v>25.174651136635479</v>
      </c>
      <c r="X128">
        <v>25.019294209100298</v>
      </c>
      <c r="Y128">
        <v>24.863937281565118</v>
      </c>
      <c r="Z128">
        <v>24.70858035402993</v>
      </c>
      <c r="AA128">
        <v>24.553223426494746</v>
      </c>
      <c r="AB128">
        <v>24.397866498959559</v>
      </c>
      <c r="AC128">
        <v>24.242509571424375</v>
      </c>
      <c r="AD128">
        <v>24.087152643889191</v>
      </c>
      <c r="AE128">
        <v>23.931795716354006</v>
      </c>
      <c r="AF128">
        <v>23.77643878881883</v>
      </c>
      <c r="AG128">
        <v>23.621081861283638</v>
      </c>
      <c r="AH128">
        <v>23.465724933748458</v>
      </c>
      <c r="AI128">
        <v>23.31036800621327</v>
      </c>
      <c r="AJ128">
        <v>23.155011078678083</v>
      </c>
      <c r="AK128">
        <v>22.999654151142902</v>
      </c>
      <c r="AL128">
        <v>22.844297223607715</v>
      </c>
      <c r="AM128">
        <v>22.688940296072534</v>
      </c>
      <c r="AN128">
        <v>22.533583368537347</v>
      </c>
      <c r="AO128">
        <v>22.378226441002159</v>
      </c>
      <c r="AP128">
        <v>22.222869513466978</v>
      </c>
      <c r="AQ128">
        <v>22.067512585931794</v>
      </c>
    </row>
    <row r="129" spans="13:43" x14ac:dyDescent="0.2">
      <c r="M129" s="50">
        <v>-0.7</v>
      </c>
      <c r="N129">
        <v>4.5000000000000009</v>
      </c>
      <c r="O129">
        <v>23.079649554960078</v>
      </c>
      <c r="P129">
        <v>22.936243160312216</v>
      </c>
      <c r="Q129">
        <v>22.792836765664354</v>
      </c>
      <c r="R129">
        <v>22.649430371016493</v>
      </c>
      <c r="S129">
        <v>22.506023976368628</v>
      </c>
      <c r="T129">
        <v>22.362617581720766</v>
      </c>
      <c r="U129">
        <v>22.219211187072904</v>
      </c>
      <c r="V129">
        <v>22.075804792425039</v>
      </c>
      <c r="W129">
        <v>21.932398397777177</v>
      </c>
      <c r="X129">
        <v>21.788992003129316</v>
      </c>
      <c r="Y129">
        <v>21.645585608481451</v>
      </c>
      <c r="Z129">
        <v>21.502179213833593</v>
      </c>
      <c r="AA129">
        <v>21.358772819185734</v>
      </c>
      <c r="AB129">
        <v>21.215366424537866</v>
      </c>
      <c r="AC129">
        <v>21.071960029890004</v>
      </c>
      <c r="AD129">
        <v>20.928553635242142</v>
      </c>
      <c r="AE129">
        <v>20.785147240594281</v>
      </c>
      <c r="AF129">
        <v>20.641740845946423</v>
      </c>
      <c r="AG129">
        <v>20.498334451298554</v>
      </c>
      <c r="AH129">
        <v>20.354928056650692</v>
      </c>
      <c r="AI129">
        <v>20.211521662002831</v>
      </c>
      <c r="AJ129">
        <v>20.068115267354969</v>
      </c>
      <c r="AK129">
        <v>19.924708872707104</v>
      </c>
      <c r="AL129">
        <v>19.781302478059239</v>
      </c>
      <c r="AM129">
        <v>19.63789608341138</v>
      </c>
      <c r="AN129">
        <v>19.494489688763515</v>
      </c>
      <c r="AO129">
        <v>19.351083294115654</v>
      </c>
      <c r="AP129">
        <v>19.207676899467792</v>
      </c>
      <c r="AQ129">
        <v>19.064270504819927</v>
      </c>
    </row>
  </sheetData>
  <mergeCells count="12">
    <mergeCell ref="A46:B46"/>
    <mergeCell ref="D46:G46"/>
    <mergeCell ref="A49:G49"/>
    <mergeCell ref="A51:G57"/>
    <mergeCell ref="A59:G65"/>
    <mergeCell ref="A67:G73"/>
    <mergeCell ref="A1:J1"/>
    <mergeCell ref="A3:D3"/>
    <mergeCell ref="F3:H3"/>
    <mergeCell ref="A20:J20"/>
    <mergeCell ref="A21:G21"/>
    <mergeCell ref="I21:J30"/>
  </mergeCells>
  <conditionalFormatting sqref="Z24:AE28">
    <cfRule type="colorScale" priority="3">
      <colorScale>
        <cfvo type="min"/>
        <cfvo type="max"/>
        <color rgb="FF0F253F"/>
        <color theme="0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AO24:AT28">
    <cfRule type="colorScale" priority="1">
      <colorScale>
        <cfvo type="min"/>
        <cfvo type="max"/>
        <color rgb="FF0F253F"/>
        <color theme="0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pageSetup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11B4-805F-DD49-90C8-2F4C3DB1709D}">
  <dimension ref="C5:BR115"/>
  <sheetViews>
    <sheetView showGridLines="0" topLeftCell="D106" zoomScale="75" zoomScaleNormal="132" workbookViewId="0">
      <selection activeCell="AC165" sqref="AC165"/>
    </sheetView>
  </sheetViews>
  <sheetFormatPr baseColWidth="10" defaultRowHeight="15" x14ac:dyDescent="0.2"/>
  <cols>
    <col min="4" max="4" width="21.5" bestFit="1" customWidth="1"/>
    <col min="39" max="40" width="11.6640625" customWidth="1"/>
  </cols>
  <sheetData>
    <row r="5" spans="4:20" x14ac:dyDescent="0.2">
      <c r="E5" s="52" t="s">
        <v>78</v>
      </c>
      <c r="F5" s="52"/>
      <c r="G5" s="52"/>
      <c r="H5" s="52"/>
      <c r="I5" s="52"/>
      <c r="J5" s="52"/>
      <c r="K5" s="52"/>
      <c r="N5" s="52" t="s">
        <v>79</v>
      </c>
      <c r="O5" s="52"/>
      <c r="P5" s="52"/>
      <c r="Q5" s="52"/>
      <c r="R5" s="52"/>
      <c r="S5" s="52"/>
      <c r="T5" s="52"/>
    </row>
    <row r="6" spans="4:20" x14ac:dyDescent="0.2">
      <c r="D6" s="25"/>
      <c r="E6" s="23">
        <v>0.42499999999999999</v>
      </c>
      <c r="F6" s="23">
        <v>0.45</v>
      </c>
      <c r="G6" s="23">
        <v>0.47499999999999998</v>
      </c>
      <c r="H6" s="23">
        <v>0.5</v>
      </c>
      <c r="I6" s="23">
        <v>0.52500000000000002</v>
      </c>
      <c r="J6" s="23">
        <v>0.55000000000000004</v>
      </c>
      <c r="K6" s="23">
        <v>0.57499999999999996</v>
      </c>
      <c r="M6" s="25"/>
      <c r="N6" s="23">
        <v>0.17</v>
      </c>
      <c r="O6" s="23">
        <v>0.18000000000000002</v>
      </c>
      <c r="P6" s="23">
        <v>0.19</v>
      </c>
      <c r="Q6" s="23">
        <v>0.2</v>
      </c>
      <c r="R6" s="23">
        <v>0.21000000000000002</v>
      </c>
      <c r="S6" s="23">
        <v>0.22000000000000003</v>
      </c>
      <c r="T6" s="23">
        <v>0.22999999999999998</v>
      </c>
    </row>
    <row r="7" spans="4:20" x14ac:dyDescent="0.2">
      <c r="D7" s="24">
        <v>12.75</v>
      </c>
      <c r="E7" s="24">
        <v>50.321255104249701</v>
      </c>
      <c r="F7" s="24">
        <v>50.408323272428753</v>
      </c>
      <c r="G7" s="24">
        <v>50.495391440607818</v>
      </c>
      <c r="H7" s="24">
        <v>50.582459608786877</v>
      </c>
      <c r="I7" s="24">
        <v>50.669527776965936</v>
      </c>
      <c r="J7" s="24">
        <v>50.756595945144994</v>
      </c>
      <c r="K7" s="24">
        <v>50.843664113324053</v>
      </c>
      <c r="M7" s="24">
        <v>12.75</v>
      </c>
      <c r="N7" s="24">
        <v>50.470514821128084</v>
      </c>
      <c r="O7" s="24">
        <v>50.507829750347682</v>
      </c>
      <c r="P7" s="24">
        <v>50.545144679567279</v>
      </c>
      <c r="Q7" s="24">
        <v>50.582459608786877</v>
      </c>
      <c r="R7" s="24">
        <v>50.619774538006482</v>
      </c>
      <c r="S7" s="24">
        <v>50.657089467226065</v>
      </c>
      <c r="T7" s="24">
        <v>50.694404396445663</v>
      </c>
    </row>
    <row r="8" spans="4:20" x14ac:dyDescent="0.2">
      <c r="D8" s="24">
        <v>13.5</v>
      </c>
      <c r="E8" s="24">
        <v>52.495520424463457</v>
      </c>
      <c r="F8" s="24">
        <v>52.556980307883975</v>
      </c>
      <c r="G8" s="24">
        <v>52.618440191304494</v>
      </c>
      <c r="H8" s="24">
        <v>52.679900074724998</v>
      </c>
      <c r="I8" s="24">
        <v>52.741359958145509</v>
      </c>
      <c r="J8" s="24">
        <v>52.80281984156602</v>
      </c>
      <c r="K8" s="24">
        <v>52.864279724986538</v>
      </c>
      <c r="M8" s="24">
        <v>13.5</v>
      </c>
      <c r="N8" s="24">
        <v>52.600880224612915</v>
      </c>
      <c r="O8" s="24">
        <v>52.627220174650276</v>
      </c>
      <c r="P8" s="24">
        <v>52.65356012468763</v>
      </c>
      <c r="Q8" s="24">
        <v>52.679900074724998</v>
      </c>
      <c r="R8" s="24">
        <v>52.706240024762351</v>
      </c>
      <c r="S8" s="24">
        <v>52.732579974799719</v>
      </c>
      <c r="T8" s="24">
        <v>52.758919924837073</v>
      </c>
    </row>
    <row r="9" spans="4:20" x14ac:dyDescent="0.2">
      <c r="D9" s="24">
        <v>14.25</v>
      </c>
      <c r="E9" s="24">
        <v>54.5824736880719</v>
      </c>
      <c r="F9" s="24">
        <v>54.614910848766058</v>
      </c>
      <c r="G9" s="24">
        <v>54.64734800946021</v>
      </c>
      <c r="H9" s="24">
        <v>54.679785170154375</v>
      </c>
      <c r="I9" s="24">
        <v>54.71222233084854</v>
      </c>
      <c r="J9" s="24">
        <v>54.744659491542691</v>
      </c>
      <c r="K9" s="24">
        <v>54.77709665223685</v>
      </c>
      <c r="M9" s="24">
        <v>14.25</v>
      </c>
      <c r="N9" s="24">
        <v>54.638080249261876</v>
      </c>
      <c r="O9" s="24">
        <v>54.65198188955938</v>
      </c>
      <c r="P9" s="24">
        <v>54.665883529856885</v>
      </c>
      <c r="Q9" s="24">
        <v>54.679785170154375</v>
      </c>
      <c r="R9" s="24">
        <v>54.693686810451879</v>
      </c>
      <c r="S9" s="24">
        <v>54.707588450749356</v>
      </c>
      <c r="T9" s="24">
        <v>54.721490091046874</v>
      </c>
    </row>
    <row r="10" spans="4:20" x14ac:dyDescent="0.2">
      <c r="D10" s="24">
        <v>15</v>
      </c>
      <c r="E10" s="24">
        <v>56.582114895074994</v>
      </c>
      <c r="F10" s="24">
        <v>56.582114895074994</v>
      </c>
      <c r="G10" s="24">
        <v>56.582114895074994</v>
      </c>
      <c r="H10" s="24">
        <v>56.582114895074994</v>
      </c>
      <c r="I10" s="24">
        <v>56.582114895074994</v>
      </c>
      <c r="J10" s="24">
        <v>56.582114895074994</v>
      </c>
      <c r="K10" s="24">
        <v>56.582114895074994</v>
      </c>
      <c r="M10" s="24">
        <v>15</v>
      </c>
      <c r="N10" s="24">
        <v>56.582114895074994</v>
      </c>
      <c r="O10" s="24">
        <v>56.582114895074994</v>
      </c>
      <c r="P10" s="24">
        <v>56.582114895074994</v>
      </c>
      <c r="Q10" s="24">
        <v>56.582114895074994</v>
      </c>
      <c r="R10" s="24">
        <v>56.582114895074994</v>
      </c>
      <c r="S10" s="24">
        <v>56.582114895074994</v>
      </c>
      <c r="T10" s="24">
        <v>56.582114895074994</v>
      </c>
    </row>
    <row r="11" spans="4:20" x14ac:dyDescent="0.2">
      <c r="D11" s="24">
        <v>15.75</v>
      </c>
      <c r="E11" s="24">
        <v>58.494444045472775</v>
      </c>
      <c r="F11" s="24">
        <v>58.458592446810812</v>
      </c>
      <c r="G11" s="24">
        <v>58.422740848148841</v>
      </c>
      <c r="H11" s="24">
        <v>58.386889249486885</v>
      </c>
      <c r="I11" s="24">
        <v>58.351037650824914</v>
      </c>
      <c r="J11" s="24">
        <v>58.31518605216295</v>
      </c>
      <c r="K11" s="24">
        <v>58.279334453500972</v>
      </c>
      <c r="M11" s="24">
        <v>15.75</v>
      </c>
      <c r="N11" s="24">
        <v>58.43298416205225</v>
      </c>
      <c r="O11" s="24">
        <v>58.41761919119714</v>
      </c>
      <c r="P11" s="24">
        <v>58.402254220341995</v>
      </c>
      <c r="Q11" s="24">
        <v>58.386889249486885</v>
      </c>
      <c r="R11" s="24">
        <v>58.371524278631739</v>
      </c>
      <c r="S11" s="24">
        <v>58.356159307776615</v>
      </c>
      <c r="T11" s="24">
        <v>58.340794336921491</v>
      </c>
    </row>
    <row r="12" spans="4:20" x14ac:dyDescent="0.2">
      <c r="D12" s="24">
        <v>16.5</v>
      </c>
      <c r="E12" s="24">
        <v>60.319461139265215</v>
      </c>
      <c r="F12" s="24">
        <v>60.244343503973475</v>
      </c>
      <c r="G12" s="24">
        <v>60.169225868681742</v>
      </c>
      <c r="H12" s="24">
        <v>60.094108233390003</v>
      </c>
      <c r="I12" s="24">
        <v>60.018990598098263</v>
      </c>
      <c r="J12" s="24">
        <v>59.943872962806523</v>
      </c>
      <c r="K12" s="24">
        <v>59.868755327514791</v>
      </c>
      <c r="M12" s="24">
        <v>16.5</v>
      </c>
      <c r="N12" s="24">
        <v>60.190688050193657</v>
      </c>
      <c r="O12" s="24">
        <v>60.158494777925775</v>
      </c>
      <c r="P12" s="24">
        <v>60.126301505657878</v>
      </c>
      <c r="Q12" s="24">
        <v>60.094108233390003</v>
      </c>
      <c r="R12" s="24">
        <v>60.061914961122113</v>
      </c>
      <c r="S12" s="24">
        <v>60.029721688854217</v>
      </c>
      <c r="T12" s="24">
        <v>59.997528416586334</v>
      </c>
    </row>
    <row r="13" spans="4:20" x14ac:dyDescent="0.2">
      <c r="D13" s="24">
        <v>17.25</v>
      </c>
      <c r="E13" s="24">
        <v>62.05716617645232</v>
      </c>
      <c r="F13" s="24">
        <v>61.939368066562992</v>
      </c>
      <c r="G13" s="24">
        <v>61.821569956673692</v>
      </c>
      <c r="H13" s="24">
        <v>61.703771846784377</v>
      </c>
      <c r="I13" s="24">
        <v>61.585973736895056</v>
      </c>
      <c r="J13" s="24">
        <v>61.468175627005749</v>
      </c>
      <c r="K13" s="24">
        <v>61.350377517116428</v>
      </c>
      <c r="M13" s="24">
        <v>17.25</v>
      </c>
      <c r="N13" s="24">
        <v>61.855226559499222</v>
      </c>
      <c r="O13" s="24">
        <v>61.804741655260933</v>
      </c>
      <c r="P13" s="24">
        <v>61.754256751022652</v>
      </c>
      <c r="Q13" s="24">
        <v>61.703771846784377</v>
      </c>
      <c r="R13" s="24">
        <v>61.653286942546103</v>
      </c>
      <c r="S13" s="24">
        <v>61.602802038307821</v>
      </c>
      <c r="T13" s="24">
        <v>61.552317134069533</v>
      </c>
    </row>
    <row r="16" spans="4:20" x14ac:dyDescent="0.2">
      <c r="E16" s="24">
        <v>12.75</v>
      </c>
      <c r="F16" s="24">
        <v>13.5</v>
      </c>
      <c r="G16" s="24">
        <v>14.25</v>
      </c>
      <c r="H16" s="24">
        <v>15</v>
      </c>
      <c r="I16" s="24">
        <v>15.75</v>
      </c>
      <c r="J16" s="24">
        <v>16.5</v>
      </c>
      <c r="K16" s="24">
        <v>17.25</v>
      </c>
    </row>
    <row r="17" spans="3:11" x14ac:dyDescent="0.2">
      <c r="C17" s="23">
        <v>0.42499999999999999</v>
      </c>
      <c r="D17" t="s">
        <v>83</v>
      </c>
      <c r="E17" s="24">
        <v>50.321255104249701</v>
      </c>
      <c r="F17" s="24">
        <v>52.495520424463457</v>
      </c>
      <c r="G17" s="24">
        <v>54.5824736880719</v>
      </c>
      <c r="H17" s="24">
        <v>56.582114895074994</v>
      </c>
      <c r="I17" s="24">
        <v>58.494444045472775</v>
      </c>
      <c r="J17" s="24">
        <v>60.319461139265215</v>
      </c>
      <c r="K17" s="24">
        <v>62.05716617645232</v>
      </c>
    </row>
    <row r="18" spans="3:11" x14ac:dyDescent="0.2">
      <c r="C18" s="23">
        <v>0.45</v>
      </c>
      <c r="D18" t="s">
        <v>84</v>
      </c>
      <c r="E18" s="24">
        <v>50.408323272428753</v>
      </c>
      <c r="F18" s="24">
        <v>52.556980307883975</v>
      </c>
      <c r="G18" s="24">
        <v>54.614910848766058</v>
      </c>
      <c r="H18" s="24">
        <v>56.582114895074994</v>
      </c>
      <c r="I18" s="24">
        <v>58.458592446810812</v>
      </c>
      <c r="J18" s="24">
        <v>60.244343503973475</v>
      </c>
      <c r="K18" s="24">
        <v>61.939368066562992</v>
      </c>
    </row>
    <row r="19" spans="3:11" x14ac:dyDescent="0.2">
      <c r="C19" s="23">
        <v>0.47499999999999998</v>
      </c>
      <c r="D19" t="s">
        <v>85</v>
      </c>
      <c r="E19" s="24">
        <v>50.495391440607818</v>
      </c>
      <c r="F19" s="24">
        <v>52.618440191304494</v>
      </c>
      <c r="G19" s="24">
        <v>54.64734800946021</v>
      </c>
      <c r="H19" s="24">
        <v>56.582114895074994</v>
      </c>
      <c r="I19" s="24">
        <v>58.422740848148841</v>
      </c>
      <c r="J19" s="24">
        <v>60.169225868681742</v>
      </c>
      <c r="K19" s="24">
        <v>61.821569956673692</v>
      </c>
    </row>
    <row r="20" spans="3:11" x14ac:dyDescent="0.2">
      <c r="C20" s="23">
        <v>0.5</v>
      </c>
      <c r="D20" t="s">
        <v>86</v>
      </c>
      <c r="E20" s="24">
        <v>50.582459608786877</v>
      </c>
      <c r="F20" s="24">
        <v>52.679900074724998</v>
      </c>
      <c r="G20" s="24">
        <v>54.679785170154375</v>
      </c>
      <c r="H20" s="24">
        <v>56.582114895074994</v>
      </c>
      <c r="I20" s="24">
        <v>58.386889249486885</v>
      </c>
      <c r="J20" s="24">
        <v>60.094108233390003</v>
      </c>
      <c r="K20" s="24">
        <v>61.703771846784377</v>
      </c>
    </row>
    <row r="21" spans="3:11" x14ac:dyDescent="0.2">
      <c r="C21" s="23">
        <v>0.52500000000000002</v>
      </c>
      <c r="D21" t="s">
        <v>87</v>
      </c>
      <c r="E21" s="24">
        <v>50.669527776965936</v>
      </c>
      <c r="F21" s="24">
        <v>52.741359958145509</v>
      </c>
      <c r="G21" s="24">
        <v>54.71222233084854</v>
      </c>
      <c r="H21" s="24">
        <v>56.582114895074994</v>
      </c>
      <c r="I21" s="24">
        <v>58.351037650824914</v>
      </c>
      <c r="J21" s="24">
        <v>60.018990598098263</v>
      </c>
      <c r="K21" s="24">
        <v>61.585973736895056</v>
      </c>
    </row>
    <row r="22" spans="3:11" x14ac:dyDescent="0.2">
      <c r="C22" s="23">
        <v>0.55000000000000004</v>
      </c>
      <c r="D22" t="s">
        <v>88</v>
      </c>
      <c r="E22" s="24">
        <v>50.756595945144994</v>
      </c>
      <c r="F22" s="24">
        <v>52.80281984156602</v>
      </c>
      <c r="G22" s="24">
        <v>54.744659491542691</v>
      </c>
      <c r="H22" s="24">
        <v>56.582114895074994</v>
      </c>
      <c r="I22" s="24">
        <v>58.31518605216295</v>
      </c>
      <c r="J22" s="24">
        <v>59.943872962806523</v>
      </c>
      <c r="K22" s="24">
        <v>61.468175627005749</v>
      </c>
    </row>
    <row r="23" spans="3:11" x14ac:dyDescent="0.2">
      <c r="C23" s="23">
        <v>0.57499999999999996</v>
      </c>
      <c r="D23" t="s">
        <v>89</v>
      </c>
      <c r="E23" s="24">
        <v>50.843664113324053</v>
      </c>
      <c r="F23" s="24">
        <v>52.864279724986538</v>
      </c>
      <c r="G23" s="24">
        <v>54.77709665223685</v>
      </c>
      <c r="H23" s="24">
        <v>56.582114895074994</v>
      </c>
      <c r="I23" s="24">
        <v>58.279334453500972</v>
      </c>
      <c r="J23" s="24">
        <v>59.868755327514791</v>
      </c>
      <c r="K23" s="24">
        <v>61.350377517116428</v>
      </c>
    </row>
    <row r="26" spans="3:11" x14ac:dyDescent="0.2">
      <c r="D26" s="49">
        <f>C25</f>
        <v>0</v>
      </c>
      <c r="E26" s="23">
        <v>0.42499999999999999</v>
      </c>
      <c r="F26" s="23">
        <v>0.45</v>
      </c>
      <c r="G26" s="23">
        <v>0.47499999999999998</v>
      </c>
      <c r="H26" s="23">
        <v>0.5</v>
      </c>
      <c r="I26" s="23">
        <v>0.52500000000000002</v>
      </c>
      <c r="J26" s="23">
        <v>0.55000000000000004</v>
      </c>
      <c r="K26" s="23">
        <v>0.57499999999999996</v>
      </c>
    </row>
    <row r="27" spans="3:11" x14ac:dyDescent="0.2">
      <c r="D27" s="24">
        <v>12.75</v>
      </c>
      <c r="E27" s="24">
        <v>50.321255104249701</v>
      </c>
      <c r="F27" s="24">
        <v>50.408323272428753</v>
      </c>
      <c r="G27" s="24">
        <v>50.495391440607818</v>
      </c>
      <c r="H27" s="24">
        <v>50.582459608786877</v>
      </c>
      <c r="I27" s="24">
        <v>50.669527776965936</v>
      </c>
      <c r="J27" s="24">
        <v>50.756595945144994</v>
      </c>
      <c r="K27" s="24">
        <v>50.843664113324053</v>
      </c>
    </row>
    <row r="28" spans="3:11" x14ac:dyDescent="0.2">
      <c r="D28" s="24">
        <v>13.5</v>
      </c>
      <c r="E28" s="24">
        <v>52.495520424463457</v>
      </c>
      <c r="F28" s="24">
        <v>52.556980307883975</v>
      </c>
      <c r="G28" s="24">
        <v>52.618440191304494</v>
      </c>
      <c r="H28" s="24">
        <v>52.679900074724998</v>
      </c>
      <c r="I28" s="24">
        <v>52.741359958145509</v>
      </c>
      <c r="J28" s="24">
        <v>52.80281984156602</v>
      </c>
      <c r="K28" s="24">
        <v>52.864279724986538</v>
      </c>
    </row>
    <row r="29" spans="3:11" x14ac:dyDescent="0.2">
      <c r="D29" s="24">
        <v>14.25</v>
      </c>
      <c r="E29" s="24">
        <v>54.5824736880719</v>
      </c>
      <c r="F29" s="24">
        <v>54.614910848766058</v>
      </c>
      <c r="G29" s="24">
        <v>54.64734800946021</v>
      </c>
      <c r="H29" s="24">
        <v>54.679785170154375</v>
      </c>
      <c r="I29" s="24">
        <v>54.71222233084854</v>
      </c>
      <c r="J29" s="24">
        <v>54.744659491542691</v>
      </c>
      <c r="K29" s="24">
        <v>54.77709665223685</v>
      </c>
    </row>
    <row r="30" spans="3:11" x14ac:dyDescent="0.2">
      <c r="D30" s="24">
        <v>15</v>
      </c>
      <c r="E30" s="24">
        <v>56.582114895074994</v>
      </c>
      <c r="F30" s="24">
        <v>56.582114895074994</v>
      </c>
      <c r="G30" s="24">
        <v>56.582114895074994</v>
      </c>
      <c r="H30" s="24">
        <v>56.582114895074994</v>
      </c>
      <c r="I30" s="24">
        <v>56.582114895074994</v>
      </c>
      <c r="J30" s="24">
        <v>56.582114895074994</v>
      </c>
      <c r="K30" s="24">
        <v>56.582114895074994</v>
      </c>
    </row>
    <row r="31" spans="3:11" x14ac:dyDescent="0.2">
      <c r="D31" s="24">
        <v>15.75</v>
      </c>
      <c r="E31" s="24">
        <v>58.494444045472775</v>
      </c>
      <c r="F31" s="24">
        <v>58.458592446810812</v>
      </c>
      <c r="G31" s="24">
        <v>58.422740848148841</v>
      </c>
      <c r="H31" s="24">
        <v>58.386889249486885</v>
      </c>
      <c r="I31" s="24">
        <v>58.351037650824914</v>
      </c>
      <c r="J31" s="24">
        <v>58.31518605216295</v>
      </c>
      <c r="K31" s="24">
        <v>58.279334453500972</v>
      </c>
    </row>
    <row r="32" spans="3:11" x14ac:dyDescent="0.2">
      <c r="D32" s="24">
        <v>16.5</v>
      </c>
      <c r="E32" s="24">
        <v>60.319461139265215</v>
      </c>
      <c r="F32" s="24">
        <v>60.244343503973475</v>
      </c>
      <c r="G32" s="24">
        <v>60.169225868681742</v>
      </c>
      <c r="H32" s="24">
        <v>60.094108233390003</v>
      </c>
      <c r="I32" s="24">
        <v>60.018990598098263</v>
      </c>
      <c r="J32" s="24">
        <v>59.943872962806523</v>
      </c>
      <c r="K32" s="24">
        <v>59.868755327514791</v>
      </c>
    </row>
    <row r="33" spans="4:11" x14ac:dyDescent="0.2">
      <c r="D33" s="24">
        <v>17.25</v>
      </c>
      <c r="E33" s="24">
        <v>62.05716617645232</v>
      </c>
      <c r="F33" s="24">
        <v>61.939368066562992</v>
      </c>
      <c r="G33" s="24">
        <v>61.821569956673692</v>
      </c>
      <c r="H33" s="24">
        <v>61.703771846784377</v>
      </c>
      <c r="I33" s="24">
        <v>61.585973736895056</v>
      </c>
      <c r="J33" s="24">
        <v>61.468175627005749</v>
      </c>
      <c r="K33" s="24">
        <v>61.350377517116428</v>
      </c>
    </row>
    <row r="49" spans="4:34" x14ac:dyDescent="0.2">
      <c r="F49" s="51">
        <v>0.7</v>
      </c>
      <c r="G49" s="50">
        <v>0.65</v>
      </c>
      <c r="H49" s="51">
        <v>0.6</v>
      </c>
      <c r="I49" s="50">
        <v>0.55000000000000004</v>
      </c>
      <c r="J49" s="51">
        <v>0.5</v>
      </c>
      <c r="K49" s="50">
        <v>0.45</v>
      </c>
      <c r="L49" s="51">
        <v>0.4</v>
      </c>
      <c r="M49" s="50">
        <v>0.35</v>
      </c>
      <c r="N49" s="51">
        <v>0.3</v>
      </c>
      <c r="O49" s="50">
        <v>0.25</v>
      </c>
      <c r="P49" s="51">
        <v>0.2</v>
      </c>
      <c r="Q49" s="50">
        <v>0.15</v>
      </c>
      <c r="R49" s="51">
        <v>0.1</v>
      </c>
      <c r="S49" s="50">
        <v>0.05</v>
      </c>
      <c r="T49" s="51">
        <v>0</v>
      </c>
      <c r="U49" s="51">
        <v>-4.9999999999998997E-2</v>
      </c>
      <c r="V49" s="50">
        <v>-9.9999999999999103E-2</v>
      </c>
      <c r="W49" s="51">
        <v>-0.149999999999999</v>
      </c>
      <c r="X49" s="50">
        <v>-0.19999999999999901</v>
      </c>
      <c r="Y49" s="51">
        <v>-0.249999999999999</v>
      </c>
      <c r="Z49" s="50">
        <v>-0.29999999999999899</v>
      </c>
      <c r="AA49" s="51">
        <v>-0.35</v>
      </c>
      <c r="AB49" s="50">
        <v>-0.4</v>
      </c>
      <c r="AC49" s="51">
        <v>-0.45</v>
      </c>
      <c r="AD49" s="50">
        <v>-0.5</v>
      </c>
      <c r="AE49" s="51">
        <v>-0.55000000000000004</v>
      </c>
      <c r="AF49" s="50">
        <v>-0.6</v>
      </c>
      <c r="AG49" s="51">
        <v>-0.65</v>
      </c>
      <c r="AH49" s="50">
        <v>-0.7</v>
      </c>
    </row>
    <row r="50" spans="4:34" x14ac:dyDescent="0.2">
      <c r="E50">
        <f>'G市收费公路估值_价格-车流量调整模型'!L3</f>
        <v>56.582114895074994</v>
      </c>
      <c r="F50">
        <v>0.85</v>
      </c>
      <c r="G50">
        <v>0.82499999999999996</v>
      </c>
      <c r="H50">
        <v>0.8</v>
      </c>
      <c r="I50">
        <v>0.77500000000000002</v>
      </c>
      <c r="J50">
        <v>0.75</v>
      </c>
      <c r="K50">
        <v>0.72499999999999998</v>
      </c>
      <c r="L50">
        <v>0.7</v>
      </c>
      <c r="M50">
        <v>0.67500000000000004</v>
      </c>
      <c r="N50">
        <v>0.65</v>
      </c>
      <c r="O50">
        <v>0.625</v>
      </c>
      <c r="P50">
        <v>0.6</v>
      </c>
      <c r="Q50">
        <v>0.57499999999999996</v>
      </c>
      <c r="R50">
        <v>0.55000000000000004</v>
      </c>
      <c r="S50">
        <v>0.52500000000000002</v>
      </c>
      <c r="T50" s="23">
        <v>0.5</v>
      </c>
      <c r="U50">
        <v>0.47500000000000048</v>
      </c>
      <c r="V50">
        <v>0.45000000000000046</v>
      </c>
      <c r="W50">
        <v>0.42500000000000049</v>
      </c>
      <c r="X50">
        <v>0.40000000000000047</v>
      </c>
      <c r="Y50">
        <v>0.3750000000000005</v>
      </c>
      <c r="Z50">
        <v>0.35000000000000053</v>
      </c>
      <c r="AA50">
        <v>0.32500000000000001</v>
      </c>
      <c r="AB50">
        <v>0.3</v>
      </c>
      <c r="AC50">
        <v>0.27500000000000002</v>
      </c>
      <c r="AD50">
        <v>0.25</v>
      </c>
      <c r="AE50">
        <v>0.22499999999999998</v>
      </c>
      <c r="AF50">
        <v>0.2</v>
      </c>
      <c r="AG50">
        <v>0.17499999999999999</v>
      </c>
      <c r="AH50">
        <v>0.15000000000000002</v>
      </c>
    </row>
    <row r="51" spans="4:34" x14ac:dyDescent="0.2">
      <c r="D51" s="51">
        <v>0.7</v>
      </c>
      <c r="E51">
        <v>25.5</v>
      </c>
      <c r="F51">
        <v>61.594509831814577</v>
      </c>
      <c r="G51">
        <v>62.407146068152478</v>
      </c>
      <c r="H51">
        <v>63.219782304490352</v>
      </c>
      <c r="I51">
        <v>64.032418540828246</v>
      </c>
      <c r="J51">
        <v>64.845054777166141</v>
      </c>
      <c r="K51">
        <v>65.657691013504021</v>
      </c>
      <c r="L51">
        <v>66.470327249841901</v>
      </c>
      <c r="M51">
        <v>67.282963486179796</v>
      </c>
      <c r="N51">
        <v>68.095599722517676</v>
      </c>
      <c r="O51">
        <v>68.90823595885557</v>
      </c>
      <c r="P51">
        <v>69.720872195193465</v>
      </c>
      <c r="Q51">
        <v>70.533508431531331</v>
      </c>
      <c r="R51">
        <v>71.346144667869225</v>
      </c>
      <c r="S51">
        <v>72.15878090420712</v>
      </c>
      <c r="T51">
        <v>72.971417140545</v>
      </c>
      <c r="U51">
        <v>73.784053376882881</v>
      </c>
      <c r="V51">
        <v>74.596689613220775</v>
      </c>
      <c r="W51">
        <v>75.409325849558655</v>
      </c>
      <c r="X51">
        <v>76.221962085896536</v>
      </c>
      <c r="Y51">
        <v>77.034598322234416</v>
      </c>
      <c r="Z51">
        <v>77.847234558572325</v>
      </c>
      <c r="AA51">
        <v>78.659870794910219</v>
      </c>
      <c r="AB51">
        <v>79.472507031248099</v>
      </c>
      <c r="AC51">
        <v>80.285143267585994</v>
      </c>
      <c r="AD51">
        <v>81.097779503923874</v>
      </c>
      <c r="AE51">
        <v>81.910415740261783</v>
      </c>
      <c r="AF51">
        <v>82.723051976599663</v>
      </c>
      <c r="AG51">
        <v>83.535688212937544</v>
      </c>
      <c r="AH51">
        <v>84.348324449275424</v>
      </c>
    </row>
    <row r="52" spans="4:34" x14ac:dyDescent="0.2">
      <c r="D52" s="50">
        <v>0.65</v>
      </c>
      <c r="E52">
        <v>24.75</v>
      </c>
      <c r="F52">
        <v>62.181305385424707</v>
      </c>
      <c r="G52">
        <v>62.913702329519147</v>
      </c>
      <c r="H52">
        <v>63.646099273613586</v>
      </c>
      <c r="I52">
        <v>64.378496217708033</v>
      </c>
      <c r="J52">
        <v>65.110893161802466</v>
      </c>
      <c r="K52">
        <v>65.843290105896912</v>
      </c>
      <c r="L52">
        <v>66.575687049991345</v>
      </c>
      <c r="M52">
        <v>67.308083994085791</v>
      </c>
      <c r="N52">
        <v>68.040480938180224</v>
      </c>
      <c r="O52">
        <v>68.77287788227467</v>
      </c>
      <c r="P52">
        <v>69.505274826369117</v>
      </c>
      <c r="Q52">
        <v>70.23767177046355</v>
      </c>
      <c r="R52">
        <v>70.970068714557982</v>
      </c>
      <c r="S52">
        <v>71.702465658652429</v>
      </c>
      <c r="T52">
        <v>72.434862602746875</v>
      </c>
      <c r="U52">
        <v>73.167259546841294</v>
      </c>
      <c r="V52">
        <v>73.89965649093574</v>
      </c>
      <c r="W52">
        <v>74.632053435030187</v>
      </c>
      <c r="X52">
        <v>75.364450379124619</v>
      </c>
      <c r="Y52">
        <v>76.096847323219066</v>
      </c>
      <c r="Z52">
        <v>76.829244267313499</v>
      </c>
      <c r="AA52">
        <v>77.561641211407959</v>
      </c>
      <c r="AB52">
        <v>78.294038155502392</v>
      </c>
      <c r="AC52">
        <v>79.026435099596839</v>
      </c>
      <c r="AD52">
        <v>79.758832043691285</v>
      </c>
      <c r="AE52">
        <v>80.491228987785718</v>
      </c>
      <c r="AF52">
        <v>81.223625931880164</v>
      </c>
      <c r="AG52">
        <v>81.956022875974583</v>
      </c>
      <c r="AH52">
        <v>82.688419820069043</v>
      </c>
    </row>
    <row r="53" spans="4:34" x14ac:dyDescent="0.2">
      <c r="D53" s="51">
        <v>0.6</v>
      </c>
      <c r="E53">
        <v>24</v>
      </c>
      <c r="F53">
        <v>62.622743436976805</v>
      </c>
      <c r="G53">
        <v>63.278315526795602</v>
      </c>
      <c r="H53">
        <v>63.933887616614399</v>
      </c>
      <c r="I53">
        <v>64.589459706433203</v>
      </c>
      <c r="J53">
        <v>65.245031796252007</v>
      </c>
      <c r="K53">
        <v>65.900603886070797</v>
      </c>
      <c r="L53">
        <v>66.556175975889602</v>
      </c>
      <c r="M53">
        <v>67.211748065708406</v>
      </c>
      <c r="N53">
        <v>67.867320155527196</v>
      </c>
      <c r="O53">
        <v>68.522892245346</v>
      </c>
      <c r="P53">
        <v>69.178464335164804</v>
      </c>
      <c r="Q53">
        <v>69.834036424983609</v>
      </c>
      <c r="R53">
        <v>70.489608514802399</v>
      </c>
      <c r="S53">
        <v>71.145180604621203</v>
      </c>
      <c r="T53">
        <v>71.800752694440007</v>
      </c>
      <c r="U53">
        <v>72.456324784258797</v>
      </c>
      <c r="V53">
        <v>73.111896874077587</v>
      </c>
      <c r="W53">
        <v>73.767468963896391</v>
      </c>
      <c r="X53">
        <v>74.423041053715195</v>
      </c>
      <c r="Y53">
        <v>75.078613143533985</v>
      </c>
      <c r="Z53">
        <v>75.73418523335279</v>
      </c>
      <c r="AA53">
        <v>76.389757323171594</v>
      </c>
      <c r="AB53">
        <v>77.045329412990412</v>
      </c>
      <c r="AC53">
        <v>77.700901502809202</v>
      </c>
      <c r="AD53">
        <v>78.356473592627992</v>
      </c>
      <c r="AE53">
        <v>79.012045682446796</v>
      </c>
      <c r="AF53">
        <v>79.667617772265601</v>
      </c>
      <c r="AG53">
        <v>80.323189862084405</v>
      </c>
      <c r="AH53">
        <v>80.978761951903209</v>
      </c>
    </row>
    <row r="54" spans="4:34" x14ac:dyDescent="0.2">
      <c r="D54" s="50">
        <v>0.55000000000000004</v>
      </c>
      <c r="E54">
        <v>23.25</v>
      </c>
      <c r="F54">
        <v>62.918823986470855</v>
      </c>
      <c r="G54">
        <v>63.500985659981829</v>
      </c>
      <c r="H54">
        <v>64.083147333492789</v>
      </c>
      <c r="I54">
        <v>64.665309007003756</v>
      </c>
      <c r="J54">
        <v>65.247470680514709</v>
      </c>
      <c r="K54">
        <v>65.829632354025676</v>
      </c>
      <c r="L54">
        <v>66.411794027536658</v>
      </c>
      <c r="M54">
        <v>66.993955701047611</v>
      </c>
      <c r="N54">
        <v>67.576117374558592</v>
      </c>
      <c r="O54">
        <v>68.158279048069545</v>
      </c>
      <c r="P54">
        <v>68.740440721580512</v>
      </c>
      <c r="Q54">
        <v>69.322602395091494</v>
      </c>
      <c r="R54">
        <v>69.904764068602447</v>
      </c>
      <c r="S54">
        <v>70.486925742113414</v>
      </c>
      <c r="T54">
        <v>71.069087415624367</v>
      </c>
      <c r="U54">
        <v>71.651249089135334</v>
      </c>
      <c r="V54">
        <v>72.233410762646301</v>
      </c>
      <c r="W54">
        <v>72.815572436157268</v>
      </c>
      <c r="X54">
        <v>73.397734109668235</v>
      </c>
      <c r="Y54">
        <v>73.979895783179202</v>
      </c>
      <c r="Z54">
        <v>74.562057456690155</v>
      </c>
      <c r="AA54">
        <v>75.144219130201137</v>
      </c>
      <c r="AB54">
        <v>75.726380803712104</v>
      </c>
      <c r="AC54">
        <v>76.308542477223071</v>
      </c>
      <c r="AD54">
        <v>76.890704150734024</v>
      </c>
      <c r="AE54">
        <v>77.472865824244991</v>
      </c>
      <c r="AF54">
        <v>78.055027497755972</v>
      </c>
      <c r="AG54">
        <v>78.63718917126694</v>
      </c>
      <c r="AH54">
        <v>79.219350844777892</v>
      </c>
    </row>
    <row r="55" spans="4:34" x14ac:dyDescent="0.2">
      <c r="D55" s="51">
        <v>0.5</v>
      </c>
      <c r="E55">
        <v>22.5</v>
      </c>
      <c r="F55">
        <v>63.069547033906872</v>
      </c>
      <c r="G55">
        <v>63.581712729077815</v>
      </c>
      <c r="H55">
        <v>64.093878424248743</v>
      </c>
      <c r="I55">
        <v>64.606044119419693</v>
      </c>
      <c r="J55">
        <v>65.118209814590628</v>
      </c>
      <c r="K55">
        <v>65.630375509761564</v>
      </c>
      <c r="L55">
        <v>66.142541204932499</v>
      </c>
      <c r="M55">
        <v>66.654706900103434</v>
      </c>
      <c r="N55">
        <v>67.16687259527437</v>
      </c>
      <c r="O55">
        <v>67.679038290445305</v>
      </c>
      <c r="P55">
        <v>68.191203985616255</v>
      </c>
      <c r="Q55">
        <v>68.703369680787176</v>
      </c>
      <c r="R55">
        <v>69.215535375958126</v>
      </c>
      <c r="S55">
        <v>69.727701071129061</v>
      </c>
      <c r="T55">
        <v>70.239866766299997</v>
      </c>
      <c r="U55">
        <v>70.752032461470932</v>
      </c>
      <c r="V55">
        <v>71.264198156641868</v>
      </c>
      <c r="W55">
        <v>71.776363851812818</v>
      </c>
      <c r="X55">
        <v>72.288529546983753</v>
      </c>
      <c r="Y55">
        <v>72.800695242154688</v>
      </c>
      <c r="Z55">
        <v>73.31286093732561</v>
      </c>
      <c r="AA55">
        <v>73.825026632496559</v>
      </c>
      <c r="AB55">
        <v>74.337192327667509</v>
      </c>
      <c r="AC55">
        <v>74.849358022838445</v>
      </c>
      <c r="AD55">
        <v>75.36152371800938</v>
      </c>
      <c r="AE55">
        <v>75.873689413180315</v>
      </c>
      <c r="AF55">
        <v>76.385855108351251</v>
      </c>
      <c r="AG55">
        <v>76.898020803522186</v>
      </c>
      <c r="AH55">
        <v>77.410186498693122</v>
      </c>
    </row>
    <row r="56" spans="4:34" x14ac:dyDescent="0.2">
      <c r="D56" s="50">
        <v>0.45</v>
      </c>
      <c r="E56">
        <v>21.75</v>
      </c>
      <c r="F56">
        <v>63.074912579284842</v>
      </c>
      <c r="G56">
        <v>63.520496734083572</v>
      </c>
      <c r="H56">
        <v>63.966080888882281</v>
      </c>
      <c r="I56">
        <v>64.411665043680998</v>
      </c>
      <c r="J56">
        <v>64.857249198479721</v>
      </c>
      <c r="K56">
        <v>65.302833353278444</v>
      </c>
      <c r="L56">
        <v>65.748417508077154</v>
      </c>
      <c r="M56">
        <v>66.194001662875863</v>
      </c>
      <c r="N56">
        <v>66.639585817674572</v>
      </c>
      <c r="O56">
        <v>67.085169972473295</v>
      </c>
      <c r="P56">
        <v>67.530754127272019</v>
      </c>
      <c r="Q56">
        <v>67.976338282070728</v>
      </c>
      <c r="R56">
        <v>68.421922436869437</v>
      </c>
      <c r="S56">
        <v>68.867506591668146</v>
      </c>
      <c r="T56">
        <v>69.31309074646687</v>
      </c>
      <c r="U56">
        <v>69.758674901265579</v>
      </c>
      <c r="V56">
        <v>70.204259056064302</v>
      </c>
      <c r="W56">
        <v>70.649843210863025</v>
      </c>
      <c r="X56">
        <v>71.095427365661735</v>
      </c>
      <c r="Y56">
        <v>71.541011520460444</v>
      </c>
      <c r="Z56">
        <v>71.986595675259153</v>
      </c>
      <c r="AA56">
        <v>72.432179830057876</v>
      </c>
      <c r="AB56">
        <v>72.8777639848566</v>
      </c>
      <c r="AC56">
        <v>73.323348139655323</v>
      </c>
      <c r="AD56">
        <v>73.768932294454032</v>
      </c>
      <c r="AE56">
        <v>74.214516449252741</v>
      </c>
      <c r="AF56">
        <v>74.660100604051465</v>
      </c>
      <c r="AG56">
        <v>75.105684758850188</v>
      </c>
      <c r="AH56">
        <v>75.551268913648897</v>
      </c>
    </row>
    <row r="57" spans="4:34" x14ac:dyDescent="0.2">
      <c r="D57" s="51">
        <v>0.4</v>
      </c>
      <c r="E57">
        <v>21</v>
      </c>
      <c r="F57">
        <v>62.934920622604793</v>
      </c>
      <c r="G57">
        <v>63.317337674999095</v>
      </c>
      <c r="H57">
        <v>63.69975472739339</v>
      </c>
      <c r="I57">
        <v>64.0821717797877</v>
      </c>
      <c r="J57">
        <v>64.464588832182002</v>
      </c>
      <c r="K57">
        <v>64.847005884576291</v>
      </c>
      <c r="L57">
        <v>65.229422936970593</v>
      </c>
      <c r="M57">
        <v>65.611839989364896</v>
      </c>
      <c r="N57">
        <v>65.994257041759198</v>
      </c>
      <c r="O57">
        <v>66.376674094153486</v>
      </c>
      <c r="P57">
        <v>66.759091146547803</v>
      </c>
      <c r="Q57">
        <v>67.141508198942105</v>
      </c>
      <c r="R57">
        <v>67.523925251336394</v>
      </c>
      <c r="S57">
        <v>67.906342303730696</v>
      </c>
      <c r="T57">
        <v>68.288759356124999</v>
      </c>
      <c r="U57">
        <v>68.671176408519287</v>
      </c>
      <c r="V57">
        <v>69.053593460913589</v>
      </c>
      <c r="W57">
        <v>69.436010513307892</v>
      </c>
      <c r="X57">
        <v>69.818427565702194</v>
      </c>
      <c r="Y57">
        <v>70.200844618096482</v>
      </c>
      <c r="Z57">
        <v>70.583261670490799</v>
      </c>
      <c r="AA57">
        <v>70.965678722885102</v>
      </c>
      <c r="AB57">
        <v>71.34809577527939</v>
      </c>
      <c r="AC57">
        <v>71.730512827673692</v>
      </c>
      <c r="AD57">
        <v>72.112929880067995</v>
      </c>
      <c r="AE57">
        <v>72.495346932462297</v>
      </c>
      <c r="AF57">
        <v>72.877763984856585</v>
      </c>
      <c r="AG57">
        <v>73.260181037250888</v>
      </c>
      <c r="AH57">
        <v>73.64259808964519</v>
      </c>
    </row>
    <row r="58" spans="4:34" x14ac:dyDescent="0.2">
      <c r="D58" s="50">
        <v>0.35</v>
      </c>
      <c r="E58">
        <v>20.25</v>
      </c>
      <c r="F58">
        <v>62.649571163866703</v>
      </c>
      <c r="G58">
        <v>62.972235551824397</v>
      </c>
      <c r="H58">
        <v>63.294899939782084</v>
      </c>
      <c r="I58">
        <v>63.617564327739778</v>
      </c>
      <c r="J58">
        <v>63.940228715697472</v>
      </c>
      <c r="K58">
        <v>64.262893103655159</v>
      </c>
      <c r="L58">
        <v>64.58555749161286</v>
      </c>
      <c r="M58">
        <v>64.908221879570547</v>
      </c>
      <c r="N58">
        <v>65.230886267528234</v>
      </c>
      <c r="O58">
        <v>65.553550655485921</v>
      </c>
      <c r="P58">
        <v>65.876215043443608</v>
      </c>
      <c r="Q58">
        <v>66.198879431401309</v>
      </c>
      <c r="R58">
        <v>66.521543819358996</v>
      </c>
      <c r="S58">
        <v>66.844208207316683</v>
      </c>
      <c r="T58">
        <v>67.16687259527437</v>
      </c>
      <c r="U58">
        <v>67.489536983232057</v>
      </c>
      <c r="V58">
        <v>67.812201371189744</v>
      </c>
      <c r="W58">
        <v>68.134865759147445</v>
      </c>
      <c r="X58">
        <v>68.457530147105132</v>
      </c>
      <c r="Y58">
        <v>68.780194535062819</v>
      </c>
      <c r="Z58">
        <v>69.10285892302052</v>
      </c>
      <c r="AA58">
        <v>69.425523310978207</v>
      </c>
      <c r="AB58">
        <v>69.748187698935894</v>
      </c>
      <c r="AC58">
        <v>70.070852086893595</v>
      </c>
      <c r="AD58">
        <v>70.393516474851282</v>
      </c>
      <c r="AE58">
        <v>70.716180862808983</v>
      </c>
      <c r="AF58">
        <v>71.038845250766656</v>
      </c>
      <c r="AG58">
        <v>71.361509638724357</v>
      </c>
      <c r="AH58">
        <v>71.684174026682044</v>
      </c>
    </row>
    <row r="59" spans="4:34" x14ac:dyDescent="0.2">
      <c r="D59" s="51">
        <v>0.3</v>
      </c>
      <c r="E59">
        <v>19.5</v>
      </c>
      <c r="F59">
        <v>62.218864203070574</v>
      </c>
      <c r="G59">
        <v>62.485190364559465</v>
      </c>
      <c r="H59">
        <v>62.751516526048349</v>
      </c>
      <c r="I59">
        <v>63.017842687537239</v>
      </c>
      <c r="J59">
        <v>63.28416884902613</v>
      </c>
      <c r="K59">
        <v>63.550495010515007</v>
      </c>
      <c r="L59">
        <v>63.816821172003898</v>
      </c>
      <c r="M59">
        <v>64.083147333492789</v>
      </c>
      <c r="N59">
        <v>64.349473494981666</v>
      </c>
      <c r="O59">
        <v>64.615799656470557</v>
      </c>
      <c r="P59">
        <v>64.882125817959448</v>
      </c>
      <c r="Q59">
        <v>65.148451979448339</v>
      </c>
      <c r="R59">
        <v>65.414778140937216</v>
      </c>
      <c r="S59">
        <v>65.681104302426107</v>
      </c>
      <c r="T59">
        <v>65.947430463914998</v>
      </c>
      <c r="U59">
        <v>66.213756625403875</v>
      </c>
      <c r="V59">
        <v>66.480082786892766</v>
      </c>
      <c r="W59">
        <v>66.746408948381657</v>
      </c>
      <c r="X59">
        <v>67.012735109870533</v>
      </c>
      <c r="Y59">
        <v>67.279061271359438</v>
      </c>
      <c r="Z59">
        <v>67.545387432848315</v>
      </c>
      <c r="AA59">
        <v>67.81171359433722</v>
      </c>
      <c r="AB59">
        <v>68.078039755826097</v>
      </c>
      <c r="AC59">
        <v>68.344365917314988</v>
      </c>
      <c r="AD59">
        <v>68.610692078803879</v>
      </c>
      <c r="AE59">
        <v>68.877018240292756</v>
      </c>
      <c r="AF59">
        <v>69.143344401781647</v>
      </c>
      <c r="AG59">
        <v>69.409670563270538</v>
      </c>
      <c r="AH59">
        <v>69.675996724759429</v>
      </c>
    </row>
    <row r="60" spans="4:34" x14ac:dyDescent="0.2">
      <c r="D60" s="50">
        <v>0.25</v>
      </c>
      <c r="E60">
        <v>18.75</v>
      </c>
      <c r="F60">
        <v>61.642799740216404</v>
      </c>
      <c r="G60">
        <v>61.85620211320429</v>
      </c>
      <c r="H60">
        <v>62.069604486192191</v>
      </c>
      <c r="I60">
        <v>62.283006859180077</v>
      </c>
      <c r="J60">
        <v>62.496409232167963</v>
      </c>
      <c r="K60">
        <v>62.709811605155863</v>
      </c>
      <c r="L60">
        <v>62.92321397814375</v>
      </c>
      <c r="M60">
        <v>63.136616351131636</v>
      </c>
      <c r="N60">
        <v>63.350018724119536</v>
      </c>
      <c r="O60">
        <v>63.563421097107422</v>
      </c>
      <c r="P60">
        <v>63.776823470095316</v>
      </c>
      <c r="Q60">
        <v>63.990225843083195</v>
      </c>
      <c r="R60">
        <v>64.203628216071095</v>
      </c>
      <c r="S60">
        <v>64.417030589058982</v>
      </c>
      <c r="T60">
        <v>64.630432962046868</v>
      </c>
      <c r="U60">
        <v>64.843835335034768</v>
      </c>
      <c r="V60">
        <v>65.057237708022654</v>
      </c>
      <c r="W60">
        <v>65.270640081010527</v>
      </c>
      <c r="X60">
        <v>65.484042453998427</v>
      </c>
      <c r="Y60">
        <v>65.697444826986327</v>
      </c>
      <c r="Z60">
        <v>65.910847199974214</v>
      </c>
      <c r="AA60">
        <v>66.124249572962114</v>
      </c>
      <c r="AB60">
        <v>66.33765194595</v>
      </c>
      <c r="AC60">
        <v>66.551054318937886</v>
      </c>
      <c r="AD60">
        <v>66.764456691925773</v>
      </c>
      <c r="AE60">
        <v>66.977859064913673</v>
      </c>
      <c r="AF60">
        <v>67.191261437901559</v>
      </c>
      <c r="AG60">
        <v>67.404663810889446</v>
      </c>
      <c r="AH60">
        <v>67.618066183877346</v>
      </c>
    </row>
    <row r="61" spans="4:34" x14ac:dyDescent="0.2">
      <c r="D61" s="51">
        <v>0.2</v>
      </c>
      <c r="E61">
        <v>18</v>
      </c>
      <c r="F61">
        <v>60.921377775304201</v>
      </c>
      <c r="G61">
        <v>61.085270797758895</v>
      </c>
      <c r="H61">
        <v>61.249163820213603</v>
      </c>
      <c r="I61">
        <v>61.413056842668311</v>
      </c>
      <c r="J61">
        <v>61.576949865123005</v>
      </c>
      <c r="K61">
        <v>61.740842887577699</v>
      </c>
      <c r="L61">
        <v>61.904735910032407</v>
      </c>
      <c r="M61">
        <v>62.068628932487101</v>
      </c>
      <c r="N61">
        <v>62.232521954941802</v>
      </c>
      <c r="O61">
        <v>62.396414977396503</v>
      </c>
      <c r="P61">
        <v>62.560307999851197</v>
      </c>
      <c r="Q61">
        <v>62.724201022305898</v>
      </c>
      <c r="R61">
        <v>62.888094044760606</v>
      </c>
      <c r="S61">
        <v>63.051987067215293</v>
      </c>
      <c r="T61">
        <v>63.215880089670001</v>
      </c>
      <c r="U61">
        <v>63.379773112124695</v>
      </c>
      <c r="V61">
        <v>63.543666134579396</v>
      </c>
      <c r="W61">
        <v>63.707559157034098</v>
      </c>
      <c r="X61">
        <v>63.871452179488799</v>
      </c>
      <c r="Y61">
        <v>64.0353452019435</v>
      </c>
      <c r="Z61">
        <v>64.199238224398201</v>
      </c>
      <c r="AA61">
        <v>64.363131246852902</v>
      </c>
      <c r="AB61">
        <v>64.527024269307603</v>
      </c>
      <c r="AC61">
        <v>64.690917291762304</v>
      </c>
      <c r="AD61">
        <v>64.854810314217005</v>
      </c>
      <c r="AE61">
        <v>65.018703336671706</v>
      </c>
      <c r="AF61">
        <v>65.182596359126393</v>
      </c>
      <c r="AG61">
        <v>65.346489381581108</v>
      </c>
      <c r="AH61">
        <v>65.510382404035809</v>
      </c>
    </row>
    <row r="62" spans="4:34" x14ac:dyDescent="0.2">
      <c r="D62" s="50">
        <v>0.15</v>
      </c>
      <c r="E62">
        <v>17.25</v>
      </c>
      <c r="F62">
        <v>60.054598308333965</v>
      </c>
      <c r="G62">
        <v>60.172396418223272</v>
      </c>
      <c r="H62">
        <v>60.290194528112593</v>
      </c>
      <c r="I62">
        <v>60.4079926380019</v>
      </c>
      <c r="J62">
        <v>60.525790747891214</v>
      </c>
      <c r="K62">
        <v>60.643588857780536</v>
      </c>
      <c r="L62">
        <v>60.76138696766985</v>
      </c>
      <c r="M62">
        <v>60.879185077559157</v>
      </c>
      <c r="N62">
        <v>60.996983187448485</v>
      </c>
      <c r="O62">
        <v>61.1147812973378</v>
      </c>
      <c r="P62">
        <v>61.232579407227114</v>
      </c>
      <c r="Q62">
        <v>61.350377517116428</v>
      </c>
      <c r="R62">
        <v>61.468175627005749</v>
      </c>
      <c r="S62">
        <v>61.585973736895056</v>
      </c>
      <c r="T62">
        <v>61.703771846784377</v>
      </c>
      <c r="U62">
        <v>61.821569956673692</v>
      </c>
      <c r="V62">
        <v>61.939368066562992</v>
      </c>
      <c r="W62">
        <v>62.05716617645232</v>
      </c>
      <c r="X62">
        <v>62.174964286341634</v>
      </c>
      <c r="Y62">
        <v>62.292762396230955</v>
      </c>
      <c r="Z62">
        <v>62.410560506120277</v>
      </c>
      <c r="AA62">
        <v>62.528358616009584</v>
      </c>
      <c r="AB62">
        <v>62.646156725898905</v>
      </c>
      <c r="AC62">
        <v>62.763954835788212</v>
      </c>
      <c r="AD62">
        <v>62.881752945677533</v>
      </c>
      <c r="AE62">
        <v>62.999551055566847</v>
      </c>
      <c r="AF62">
        <v>63.117349165456154</v>
      </c>
      <c r="AG62">
        <v>63.235147275345483</v>
      </c>
      <c r="AH62">
        <v>63.35294538523479</v>
      </c>
    </row>
    <row r="63" spans="4:34" x14ac:dyDescent="0.2">
      <c r="D63" s="51">
        <v>0.1</v>
      </c>
      <c r="E63">
        <v>16.5</v>
      </c>
      <c r="F63">
        <v>59.042461339305675</v>
      </c>
      <c r="G63">
        <v>59.117578974597407</v>
      </c>
      <c r="H63">
        <v>59.192696609889154</v>
      </c>
      <c r="I63">
        <v>59.267814245180887</v>
      </c>
      <c r="J63">
        <v>59.342931880472626</v>
      </c>
      <c r="K63">
        <v>59.418049515764366</v>
      </c>
      <c r="L63">
        <v>59.493167151056099</v>
      </c>
      <c r="M63">
        <v>59.568284786347839</v>
      </c>
      <c r="N63">
        <v>59.643402421639593</v>
      </c>
      <c r="O63">
        <v>59.718520056931311</v>
      </c>
      <c r="P63">
        <v>59.793637692223044</v>
      </c>
      <c r="Q63">
        <v>59.868755327514791</v>
      </c>
      <c r="R63">
        <v>59.943872962806523</v>
      </c>
      <c r="S63">
        <v>60.018990598098263</v>
      </c>
      <c r="T63">
        <v>60.094108233390003</v>
      </c>
      <c r="U63">
        <v>60.169225868681735</v>
      </c>
      <c r="V63">
        <v>60.244343503973475</v>
      </c>
      <c r="W63">
        <v>60.319461139265215</v>
      </c>
      <c r="X63">
        <v>60.394578774556948</v>
      </c>
      <c r="Y63">
        <v>60.469696409848694</v>
      </c>
      <c r="Z63">
        <v>60.544814045140427</v>
      </c>
      <c r="AA63">
        <v>60.61993168043216</v>
      </c>
      <c r="AB63">
        <v>60.695049315723892</v>
      </c>
      <c r="AC63">
        <v>60.770166951015639</v>
      </c>
      <c r="AD63">
        <v>60.845284586307379</v>
      </c>
      <c r="AE63">
        <v>60.920402221599112</v>
      </c>
      <c r="AF63">
        <v>60.995519856890851</v>
      </c>
      <c r="AG63">
        <v>61.070637492182591</v>
      </c>
      <c r="AH63">
        <v>61.145755127474324</v>
      </c>
    </row>
    <row r="64" spans="4:34" x14ac:dyDescent="0.2">
      <c r="D64" s="50">
        <v>0.05</v>
      </c>
      <c r="E64">
        <v>15.75</v>
      </c>
      <c r="F64">
        <v>57.884966868219351</v>
      </c>
      <c r="G64">
        <v>57.920818466881329</v>
      </c>
      <c r="H64">
        <v>57.956670065543285</v>
      </c>
      <c r="I64">
        <v>57.992521664205256</v>
      </c>
      <c r="J64">
        <v>58.02837326286722</v>
      </c>
      <c r="K64">
        <v>58.064224861529176</v>
      </c>
      <c r="L64">
        <v>58.100076460191147</v>
      </c>
      <c r="M64">
        <v>58.135928058853125</v>
      </c>
      <c r="N64">
        <v>58.171779657515081</v>
      </c>
      <c r="O64">
        <v>58.207631256177052</v>
      </c>
      <c r="P64">
        <v>58.243482854839016</v>
      </c>
      <c r="Q64">
        <v>58.279334453500972</v>
      </c>
      <c r="R64">
        <v>58.31518605216295</v>
      </c>
      <c r="S64">
        <v>58.351037650824914</v>
      </c>
      <c r="T64">
        <v>58.386889249486885</v>
      </c>
      <c r="U64">
        <v>58.422740848148841</v>
      </c>
      <c r="V64">
        <v>58.458592446810812</v>
      </c>
      <c r="W64">
        <v>58.494444045472775</v>
      </c>
      <c r="X64">
        <v>58.530295644134739</v>
      </c>
      <c r="Y64">
        <v>58.56614724279671</v>
      </c>
      <c r="Z64">
        <v>58.601998841458659</v>
      </c>
      <c r="AA64">
        <v>58.63785044012063</v>
      </c>
      <c r="AB64">
        <v>58.673702038782608</v>
      </c>
      <c r="AC64">
        <v>58.709553637444571</v>
      </c>
      <c r="AD64">
        <v>58.745405236106528</v>
      </c>
      <c r="AE64">
        <v>58.781256834768499</v>
      </c>
      <c r="AF64">
        <v>58.817108433430469</v>
      </c>
      <c r="AG64">
        <v>58.852960032092426</v>
      </c>
      <c r="AH64">
        <v>58.88881163075439</v>
      </c>
    </row>
    <row r="65" spans="4:34" x14ac:dyDescent="0.2">
      <c r="D65" s="51">
        <v>0</v>
      </c>
      <c r="E65" s="24">
        <v>15</v>
      </c>
      <c r="F65">
        <v>56.582114895074994</v>
      </c>
      <c r="G65">
        <v>56.582114895074994</v>
      </c>
      <c r="H65">
        <v>56.582114895074994</v>
      </c>
      <c r="I65">
        <v>56.582114895074994</v>
      </c>
      <c r="J65">
        <v>56.582114895074994</v>
      </c>
      <c r="K65">
        <v>56.582114895074994</v>
      </c>
      <c r="L65">
        <v>56.582114895074994</v>
      </c>
      <c r="M65">
        <v>56.582114895074994</v>
      </c>
      <c r="N65">
        <v>56.582114895074994</v>
      </c>
      <c r="O65">
        <v>56.582114895074994</v>
      </c>
      <c r="P65">
        <v>56.582114895074994</v>
      </c>
      <c r="Q65">
        <v>56.582114895074994</v>
      </c>
      <c r="R65">
        <v>56.582114895074994</v>
      </c>
      <c r="S65">
        <v>56.582114895074994</v>
      </c>
      <c r="T65">
        <v>56.582114895074994</v>
      </c>
      <c r="U65">
        <v>56.582114895074994</v>
      </c>
      <c r="V65">
        <v>56.582114895074994</v>
      </c>
      <c r="W65">
        <v>56.582114895074994</v>
      </c>
      <c r="X65">
        <v>56.582114895074994</v>
      </c>
      <c r="Y65">
        <v>56.582114895074994</v>
      </c>
      <c r="Z65">
        <v>56.582114895074994</v>
      </c>
      <c r="AA65">
        <v>56.582114895074994</v>
      </c>
      <c r="AB65">
        <v>56.582114895074994</v>
      </c>
      <c r="AC65">
        <v>56.582114895074994</v>
      </c>
      <c r="AD65">
        <v>56.582114895074994</v>
      </c>
      <c r="AE65">
        <v>56.582114895074994</v>
      </c>
      <c r="AF65">
        <v>56.582114895074994</v>
      </c>
      <c r="AG65">
        <v>56.582114895074994</v>
      </c>
      <c r="AH65">
        <v>56.582114895074994</v>
      </c>
    </row>
    <row r="66" spans="4:34" x14ac:dyDescent="0.2">
      <c r="D66" s="51">
        <v>-4.9999999999998997E-2</v>
      </c>
      <c r="E66">
        <v>14.250000000000014</v>
      </c>
      <c r="F66">
        <v>55.133905419872626</v>
      </c>
      <c r="G66">
        <v>55.101468259178482</v>
      </c>
      <c r="H66">
        <v>55.069031098484317</v>
      </c>
      <c r="I66">
        <v>55.036593937790151</v>
      </c>
      <c r="J66">
        <v>55.004156777096</v>
      </c>
      <c r="K66">
        <v>54.971719616401835</v>
      </c>
      <c r="L66">
        <v>54.939282455707676</v>
      </c>
      <c r="M66">
        <v>54.906845295013525</v>
      </c>
      <c r="N66">
        <v>54.874408134319367</v>
      </c>
      <c r="O66">
        <v>54.841970973625202</v>
      </c>
      <c r="P66">
        <v>54.809533812931051</v>
      </c>
      <c r="Q66">
        <v>54.777096652236885</v>
      </c>
      <c r="R66">
        <v>54.74465949154272</v>
      </c>
      <c r="S66">
        <v>54.712222330848569</v>
      </c>
      <c r="T66">
        <v>54.67978517015441</v>
      </c>
      <c r="U66">
        <v>54.647348009460245</v>
      </c>
      <c r="V66">
        <v>54.614910848766101</v>
      </c>
      <c r="W66">
        <v>54.582473688071936</v>
      </c>
      <c r="X66">
        <v>54.55003652737777</v>
      </c>
      <c r="Y66">
        <v>54.517599366683626</v>
      </c>
      <c r="Z66">
        <v>54.485162205989461</v>
      </c>
      <c r="AA66">
        <v>54.452725045295296</v>
      </c>
      <c r="AB66">
        <v>54.420287884601137</v>
      </c>
      <c r="AC66">
        <v>54.387850723906986</v>
      </c>
      <c r="AD66">
        <v>54.355413563212821</v>
      </c>
      <c r="AE66">
        <v>54.322976402518663</v>
      </c>
      <c r="AF66">
        <v>54.290539241824504</v>
      </c>
      <c r="AG66">
        <v>54.258102081130346</v>
      </c>
      <c r="AH66">
        <v>54.225664920436188</v>
      </c>
    </row>
    <row r="67" spans="4:34" x14ac:dyDescent="0.2">
      <c r="D67" s="50">
        <v>-9.9999999999999103E-2</v>
      </c>
      <c r="E67">
        <v>13.500000000000014</v>
      </c>
      <c r="F67">
        <v>53.54033844261221</v>
      </c>
      <c r="G67">
        <v>53.478878559191699</v>
      </c>
      <c r="H67">
        <v>53.417418675771174</v>
      </c>
      <c r="I67">
        <v>53.35595879235067</v>
      </c>
      <c r="J67">
        <v>53.294498908930152</v>
      </c>
      <c r="K67">
        <v>53.233039025509648</v>
      </c>
      <c r="L67">
        <v>53.171579142089129</v>
      </c>
      <c r="M67">
        <v>53.110119258668625</v>
      </c>
      <c r="N67">
        <v>53.048659375248107</v>
      </c>
      <c r="O67">
        <v>52.987199491827596</v>
      </c>
      <c r="P67">
        <v>52.925739608407085</v>
      </c>
      <c r="Q67">
        <v>52.864279724986574</v>
      </c>
      <c r="R67">
        <v>52.80281984156607</v>
      </c>
      <c r="S67">
        <v>52.741359958145544</v>
      </c>
      <c r="T67">
        <v>52.67990007472504</v>
      </c>
      <c r="U67">
        <v>52.618440191304522</v>
      </c>
      <c r="V67">
        <v>52.556980307884018</v>
      </c>
      <c r="W67">
        <v>52.495520424463493</v>
      </c>
      <c r="X67">
        <v>52.434060541042989</v>
      </c>
      <c r="Y67">
        <v>52.372600657622478</v>
      </c>
      <c r="Z67">
        <v>52.311140774201967</v>
      </c>
      <c r="AA67">
        <v>52.249680890781455</v>
      </c>
      <c r="AB67">
        <v>52.188221007360937</v>
      </c>
      <c r="AC67">
        <v>52.126761123940433</v>
      </c>
      <c r="AD67">
        <v>52.065301240519915</v>
      </c>
      <c r="AE67">
        <v>52.003841357099404</v>
      </c>
      <c r="AF67">
        <v>51.9423814736789</v>
      </c>
      <c r="AG67">
        <v>51.880921590258382</v>
      </c>
      <c r="AH67">
        <v>51.819461706837878</v>
      </c>
    </row>
    <row r="68" spans="4:34" x14ac:dyDescent="0.2">
      <c r="D68" s="51">
        <v>-0.149999999999999</v>
      </c>
      <c r="E68">
        <v>12.750000000000014</v>
      </c>
      <c r="F68">
        <v>51.80141396329374</v>
      </c>
      <c r="G68">
        <v>51.714345795114681</v>
      </c>
      <c r="H68">
        <v>51.627277626935616</v>
      </c>
      <c r="I68">
        <v>51.540209458756564</v>
      </c>
      <c r="J68">
        <v>51.453141290577506</v>
      </c>
      <c r="K68">
        <v>51.36607312239844</v>
      </c>
      <c r="L68">
        <v>51.279004954219388</v>
      </c>
      <c r="M68">
        <v>51.191936786040323</v>
      </c>
      <c r="N68">
        <v>51.104868617861278</v>
      </c>
      <c r="O68">
        <v>51.017800449682213</v>
      </c>
      <c r="P68">
        <v>50.930732281503147</v>
      </c>
      <c r="Q68">
        <v>50.843664113324095</v>
      </c>
      <c r="R68">
        <v>50.756595945145037</v>
      </c>
      <c r="S68">
        <v>50.669527776965971</v>
      </c>
      <c r="T68">
        <v>50.58245960878692</v>
      </c>
      <c r="U68">
        <v>50.495391440607854</v>
      </c>
      <c r="V68">
        <v>50.408323272428802</v>
      </c>
      <c r="W68">
        <v>50.321255104249744</v>
      </c>
      <c r="X68">
        <v>50.234186936070678</v>
      </c>
      <c r="Y68">
        <v>50.147118767891627</v>
      </c>
      <c r="Z68">
        <v>50.060050599712568</v>
      </c>
      <c r="AA68">
        <v>49.972982431533502</v>
      </c>
      <c r="AB68">
        <v>49.885914263354437</v>
      </c>
      <c r="AC68">
        <v>49.798846095175392</v>
      </c>
      <c r="AD68">
        <v>49.711777926996326</v>
      </c>
      <c r="AE68">
        <v>49.624709758817268</v>
      </c>
      <c r="AF68">
        <v>49.537641590638209</v>
      </c>
      <c r="AG68">
        <v>49.450573422459144</v>
      </c>
      <c r="AH68">
        <v>49.363505254280092</v>
      </c>
    </row>
    <row r="69" spans="4:34" x14ac:dyDescent="0.2">
      <c r="D69" s="50">
        <v>-0.19999999999999901</v>
      </c>
      <c r="E69">
        <v>12.000000000000014</v>
      </c>
      <c r="F69">
        <v>49.917131981917237</v>
      </c>
      <c r="G69">
        <v>49.807869966947436</v>
      </c>
      <c r="H69">
        <v>49.698607951977635</v>
      </c>
      <c r="I69">
        <v>49.589345937007835</v>
      </c>
      <c r="J69">
        <v>49.480083922038034</v>
      </c>
      <c r="K69">
        <v>49.370821907068233</v>
      </c>
      <c r="L69">
        <v>49.261559892098433</v>
      </c>
      <c r="M69">
        <v>49.152297877128632</v>
      </c>
      <c r="N69">
        <v>49.043035862158845</v>
      </c>
      <c r="O69">
        <v>48.933773847189038</v>
      </c>
      <c r="P69">
        <v>48.824511832219237</v>
      </c>
      <c r="Q69">
        <v>48.715249817249443</v>
      </c>
      <c r="R69">
        <v>48.605987802279643</v>
      </c>
      <c r="S69">
        <v>48.496725787309849</v>
      </c>
      <c r="T69">
        <v>48.387463772340041</v>
      </c>
      <c r="U69">
        <v>48.278201757370255</v>
      </c>
      <c r="V69">
        <v>48.16893974240044</v>
      </c>
      <c r="W69">
        <v>48.059677727430646</v>
      </c>
      <c r="X69">
        <v>47.950415712460838</v>
      </c>
      <c r="Y69">
        <v>47.841153697491045</v>
      </c>
      <c r="Z69">
        <v>47.731891682521251</v>
      </c>
      <c r="AA69">
        <v>47.62262966755145</v>
      </c>
      <c r="AB69">
        <v>47.513367652581643</v>
      </c>
      <c r="AC69">
        <v>47.404105637611842</v>
      </c>
      <c r="AD69">
        <v>47.294843622642041</v>
      </c>
      <c r="AE69">
        <v>47.185581607672241</v>
      </c>
      <c r="AF69">
        <v>47.076319592702454</v>
      </c>
      <c r="AG69">
        <v>46.967057577732653</v>
      </c>
      <c r="AH69">
        <v>46.857795562762838</v>
      </c>
    </row>
    <row r="70" spans="4:34" x14ac:dyDescent="0.2">
      <c r="D70" s="51">
        <v>-0.249999999999999</v>
      </c>
      <c r="E70">
        <v>11.250000000000014</v>
      </c>
      <c r="F70">
        <v>47.887492498482693</v>
      </c>
      <c r="G70">
        <v>47.759451074689963</v>
      </c>
      <c r="H70">
        <v>47.631409650897233</v>
      </c>
      <c r="I70">
        <v>47.503368227104488</v>
      </c>
      <c r="J70">
        <v>47.375326803311765</v>
      </c>
      <c r="K70">
        <v>47.247285379519028</v>
      </c>
      <c r="L70">
        <v>47.119243955726297</v>
      </c>
      <c r="M70">
        <v>46.991202531933553</v>
      </c>
      <c r="N70">
        <v>46.863161108140829</v>
      </c>
      <c r="O70">
        <v>46.735119684348085</v>
      </c>
      <c r="P70">
        <v>46.607078260555355</v>
      </c>
      <c r="Q70">
        <v>46.479036836762631</v>
      </c>
      <c r="R70">
        <v>46.350995412969894</v>
      </c>
      <c r="S70">
        <v>46.222953989177157</v>
      </c>
      <c r="T70">
        <v>46.094912565384419</v>
      </c>
      <c r="U70">
        <v>45.966871141591696</v>
      </c>
      <c r="V70">
        <v>45.838829717798944</v>
      </c>
      <c r="W70">
        <v>45.710788294006221</v>
      </c>
      <c r="X70">
        <v>45.582746870213484</v>
      </c>
      <c r="Y70">
        <v>45.45470544642076</v>
      </c>
      <c r="Z70">
        <v>45.326664022628023</v>
      </c>
      <c r="AA70">
        <v>45.198622598835279</v>
      </c>
      <c r="AB70">
        <v>45.070581175042548</v>
      </c>
      <c r="AC70">
        <v>44.942539751249804</v>
      </c>
      <c r="AD70">
        <v>44.814498327457073</v>
      </c>
      <c r="AE70">
        <v>44.686456903664343</v>
      </c>
      <c r="AF70">
        <v>44.558415479871613</v>
      </c>
      <c r="AG70">
        <v>44.430374056078875</v>
      </c>
      <c r="AH70">
        <v>44.302332632286145</v>
      </c>
    </row>
    <row r="71" spans="4:34" x14ac:dyDescent="0.2">
      <c r="D71" s="50">
        <v>-0.29999999999999899</v>
      </c>
      <c r="E71">
        <v>10.500000000000016</v>
      </c>
      <c r="F71">
        <v>45.712495512990117</v>
      </c>
      <c r="G71">
        <v>45.569089118342269</v>
      </c>
      <c r="H71">
        <v>45.425682723694408</v>
      </c>
      <c r="I71">
        <v>45.282276329046539</v>
      </c>
      <c r="J71">
        <v>45.138869934398677</v>
      </c>
      <c r="K71">
        <v>44.995463539750808</v>
      </c>
      <c r="L71">
        <v>44.852057145102954</v>
      </c>
      <c r="M71">
        <v>44.708650750455085</v>
      </c>
      <c r="N71">
        <v>44.565244355807231</v>
      </c>
      <c r="O71">
        <v>44.421837961159369</v>
      </c>
      <c r="P71">
        <v>44.2784315665115</v>
      </c>
      <c r="Q71">
        <v>44.135025171863646</v>
      </c>
      <c r="R71">
        <v>43.991618777215777</v>
      </c>
      <c r="S71">
        <v>43.848212382567922</v>
      </c>
      <c r="T71">
        <v>43.704805987920054</v>
      </c>
      <c r="U71">
        <v>43.561399593272192</v>
      </c>
      <c r="V71">
        <v>43.41799319862433</v>
      </c>
      <c r="W71">
        <v>43.274586803976476</v>
      </c>
      <c r="X71">
        <v>43.131180409328607</v>
      </c>
      <c r="Y71">
        <v>42.987774014680745</v>
      </c>
      <c r="Z71">
        <v>42.844367620032884</v>
      </c>
      <c r="AA71">
        <v>42.700961225385022</v>
      </c>
      <c r="AB71">
        <v>42.557554830737161</v>
      </c>
      <c r="AC71">
        <v>42.414148436089292</v>
      </c>
      <c r="AD71">
        <v>42.27074204144143</v>
      </c>
      <c r="AE71">
        <v>42.127335646793568</v>
      </c>
      <c r="AF71">
        <v>41.983929252145707</v>
      </c>
      <c r="AG71">
        <v>41.840522857497845</v>
      </c>
      <c r="AH71">
        <v>41.697116462849991</v>
      </c>
    </row>
    <row r="72" spans="4:34" x14ac:dyDescent="0.2">
      <c r="D72" s="51">
        <v>-0.35</v>
      </c>
      <c r="E72">
        <v>9.75</v>
      </c>
      <c r="F72">
        <v>43.392141025439457</v>
      </c>
      <c r="G72">
        <v>43.236784097904277</v>
      </c>
      <c r="H72">
        <v>43.081427170369082</v>
      </c>
      <c r="I72">
        <v>42.926070242833909</v>
      </c>
      <c r="J72">
        <v>42.770713315298721</v>
      </c>
      <c r="K72">
        <v>42.615356387763541</v>
      </c>
      <c r="L72">
        <v>42.459999460228353</v>
      </c>
      <c r="M72">
        <v>42.304642532693165</v>
      </c>
      <c r="N72">
        <v>42.149285605157985</v>
      </c>
      <c r="O72">
        <v>41.993928677622804</v>
      </c>
      <c r="P72">
        <v>41.83857175008761</v>
      </c>
      <c r="Q72">
        <v>41.683214822552429</v>
      </c>
      <c r="R72">
        <v>41.527857895017249</v>
      </c>
      <c r="S72">
        <v>41.372500967482061</v>
      </c>
      <c r="T72">
        <v>41.217144039946881</v>
      </c>
      <c r="U72">
        <v>41.061787112411693</v>
      </c>
      <c r="V72">
        <v>40.906430184876506</v>
      </c>
      <c r="W72">
        <v>40.751073257341325</v>
      </c>
      <c r="X72">
        <v>40.595716329806152</v>
      </c>
      <c r="Y72">
        <v>40.44035940227095</v>
      </c>
      <c r="Z72">
        <v>40.285002474735776</v>
      </c>
      <c r="AA72">
        <v>40.129645547200589</v>
      </c>
      <c r="AB72">
        <v>39.974288619665401</v>
      </c>
      <c r="AC72">
        <v>39.818931692130221</v>
      </c>
      <c r="AD72">
        <v>39.66357476459504</v>
      </c>
      <c r="AE72">
        <v>39.508217837059853</v>
      </c>
      <c r="AF72">
        <v>39.352860909524665</v>
      </c>
      <c r="AG72">
        <v>39.197503981989485</v>
      </c>
      <c r="AH72">
        <v>39.042147054454297</v>
      </c>
    </row>
    <row r="73" spans="4:34" x14ac:dyDescent="0.2">
      <c r="D73" s="50">
        <v>-0.4</v>
      </c>
      <c r="E73">
        <v>9</v>
      </c>
      <c r="F73">
        <v>40.926429035830807</v>
      </c>
      <c r="G73">
        <v>40.762536013376106</v>
      </c>
      <c r="H73">
        <v>40.598642990921405</v>
      </c>
      <c r="I73">
        <v>40.434749968466704</v>
      </c>
      <c r="J73">
        <v>40.270856946012003</v>
      </c>
      <c r="K73">
        <v>40.106963923557302</v>
      </c>
      <c r="L73">
        <v>39.943070901102601</v>
      </c>
      <c r="M73">
        <v>39.7791778786479</v>
      </c>
      <c r="N73">
        <v>39.615284856193206</v>
      </c>
      <c r="O73">
        <v>39.451391833738505</v>
      </c>
      <c r="P73">
        <v>39.287498811283797</v>
      </c>
      <c r="Q73">
        <v>39.123605788829103</v>
      </c>
      <c r="R73">
        <v>38.959712766374402</v>
      </c>
      <c r="S73">
        <v>38.795819743919708</v>
      </c>
      <c r="T73">
        <v>38.631926721465007</v>
      </c>
      <c r="U73">
        <v>38.468033699010306</v>
      </c>
      <c r="V73">
        <v>38.304140676555605</v>
      </c>
      <c r="W73">
        <v>38.140247654100904</v>
      </c>
      <c r="X73">
        <v>37.97635463164621</v>
      </c>
      <c r="Y73">
        <v>37.812461609191509</v>
      </c>
      <c r="Z73">
        <v>37.648568586736808</v>
      </c>
      <c r="AA73">
        <v>37.484675564282099</v>
      </c>
      <c r="AB73">
        <v>37.320782541827413</v>
      </c>
      <c r="AC73">
        <v>37.156889519372704</v>
      </c>
      <c r="AD73">
        <v>36.992996496918003</v>
      </c>
      <c r="AE73">
        <v>36.829103474463302</v>
      </c>
      <c r="AF73">
        <v>36.665210452008608</v>
      </c>
      <c r="AG73">
        <v>36.5013174295539</v>
      </c>
      <c r="AH73">
        <v>36.337424407099199</v>
      </c>
    </row>
    <row r="74" spans="4:34" x14ac:dyDescent="0.2">
      <c r="D74" s="51">
        <v>-0.45</v>
      </c>
      <c r="E74">
        <v>8.25</v>
      </c>
      <c r="F74">
        <v>38.31535954416411</v>
      </c>
      <c r="G74">
        <v>38.146344864757694</v>
      </c>
      <c r="H74">
        <v>37.977330185351285</v>
      </c>
      <c r="I74">
        <v>37.808315505944876</v>
      </c>
      <c r="J74">
        <v>37.639300826538474</v>
      </c>
      <c r="K74">
        <v>37.470286147132057</v>
      </c>
      <c r="L74">
        <v>37.301271467725655</v>
      </c>
      <c r="M74">
        <v>37.132256788319246</v>
      </c>
      <c r="N74">
        <v>36.963242108912837</v>
      </c>
      <c r="O74">
        <v>36.794227429506421</v>
      </c>
      <c r="P74">
        <v>36.625212750100012</v>
      </c>
      <c r="Q74">
        <v>36.456198070693603</v>
      </c>
      <c r="R74">
        <v>36.287183391287194</v>
      </c>
      <c r="S74">
        <v>36.118168711880791</v>
      </c>
      <c r="T74">
        <v>35.949154032474375</v>
      </c>
      <c r="U74">
        <v>35.780139353067973</v>
      </c>
      <c r="V74">
        <v>35.611124673661564</v>
      </c>
      <c r="W74">
        <v>35.442109994255148</v>
      </c>
      <c r="X74">
        <v>35.273095314848746</v>
      </c>
      <c r="Y74">
        <v>35.10408063544233</v>
      </c>
      <c r="Z74">
        <v>34.935065956035928</v>
      </c>
      <c r="AA74">
        <v>34.766051276629511</v>
      </c>
      <c r="AB74">
        <v>34.597036597223102</v>
      </c>
      <c r="AC74">
        <v>34.428021917816693</v>
      </c>
      <c r="AD74">
        <v>34.259007238410291</v>
      </c>
      <c r="AE74">
        <v>34.089992559003875</v>
      </c>
      <c r="AF74">
        <v>33.920977879597473</v>
      </c>
      <c r="AG74">
        <v>33.751963200191049</v>
      </c>
      <c r="AH74">
        <v>33.582948520784647</v>
      </c>
    </row>
    <row r="75" spans="4:34" x14ac:dyDescent="0.2">
      <c r="D75" s="50">
        <v>-0.5</v>
      </c>
      <c r="E75">
        <v>7.5</v>
      </c>
      <c r="F75">
        <v>35.55893255043938</v>
      </c>
      <c r="G75">
        <v>35.388210652049068</v>
      </c>
      <c r="H75">
        <v>35.217488753658749</v>
      </c>
      <c r="I75">
        <v>35.046766855268437</v>
      </c>
      <c r="J75">
        <v>34.876044956878133</v>
      </c>
      <c r="K75">
        <v>34.705323058487814</v>
      </c>
      <c r="L75">
        <v>34.534601160097502</v>
      </c>
      <c r="M75">
        <v>34.36387926170719</v>
      </c>
      <c r="N75">
        <v>34.193157363316878</v>
      </c>
      <c r="O75">
        <v>34.022435464926566</v>
      </c>
      <c r="P75">
        <v>33.851713566536255</v>
      </c>
      <c r="Q75">
        <v>33.680991668145943</v>
      </c>
      <c r="R75">
        <v>33.510269769755631</v>
      </c>
      <c r="S75">
        <v>33.339547871365319</v>
      </c>
      <c r="T75">
        <v>33.168825972975</v>
      </c>
      <c r="U75">
        <v>32.998104074584695</v>
      </c>
      <c r="V75">
        <v>32.827382176194384</v>
      </c>
      <c r="W75">
        <v>32.656660277804072</v>
      </c>
      <c r="X75">
        <v>32.485938379413753</v>
      </c>
      <c r="Y75">
        <v>32.315216481023441</v>
      </c>
      <c r="Z75">
        <v>32.144494582633129</v>
      </c>
      <c r="AA75">
        <v>31.973772684242817</v>
      </c>
      <c r="AB75">
        <v>31.803050785852506</v>
      </c>
      <c r="AC75">
        <v>31.632328887462187</v>
      </c>
      <c r="AD75">
        <v>31.461606989071875</v>
      </c>
      <c r="AE75">
        <v>31.290885090681567</v>
      </c>
      <c r="AF75">
        <v>31.120163192291251</v>
      </c>
      <c r="AG75">
        <v>30.949441293900939</v>
      </c>
      <c r="AH75">
        <v>30.778719395510624</v>
      </c>
    </row>
    <row r="76" spans="4:34" x14ac:dyDescent="0.2">
      <c r="D76" s="51">
        <v>-0.55000000000000004</v>
      </c>
      <c r="E76">
        <v>6.7499999999999991</v>
      </c>
      <c r="F76">
        <v>32.657148054656602</v>
      </c>
      <c r="G76">
        <v>32.488133375250186</v>
      </c>
      <c r="H76">
        <v>32.319118695843784</v>
      </c>
      <c r="I76">
        <v>32.150104016437375</v>
      </c>
      <c r="J76">
        <v>31.981089337030966</v>
      </c>
      <c r="K76">
        <v>31.812074657624557</v>
      </c>
      <c r="L76">
        <v>31.643059978218151</v>
      </c>
      <c r="M76">
        <v>31.474045298811738</v>
      </c>
      <c r="N76">
        <v>31.305030619405326</v>
      </c>
      <c r="O76">
        <v>31.136015939998916</v>
      </c>
      <c r="P76">
        <v>30.967001260592511</v>
      </c>
      <c r="Q76">
        <v>30.797986581186098</v>
      </c>
      <c r="R76">
        <v>30.628971901779689</v>
      </c>
      <c r="S76">
        <v>30.459957222373276</v>
      </c>
      <c r="T76">
        <v>30.290942542966874</v>
      </c>
      <c r="U76">
        <v>30.121927863560465</v>
      </c>
      <c r="V76">
        <v>29.95291318415406</v>
      </c>
      <c r="W76">
        <v>29.783898504747647</v>
      </c>
      <c r="X76">
        <v>29.614883825341238</v>
      </c>
      <c r="Y76">
        <v>29.445869145934825</v>
      </c>
      <c r="Z76">
        <v>29.276854466528423</v>
      </c>
      <c r="AA76">
        <v>29.107839787122007</v>
      </c>
      <c r="AB76">
        <v>28.938825107715598</v>
      </c>
      <c r="AC76">
        <v>28.769810428309189</v>
      </c>
      <c r="AD76">
        <v>28.60079574890278</v>
      </c>
      <c r="AE76">
        <v>28.43178106949637</v>
      </c>
      <c r="AF76">
        <v>28.262766390089958</v>
      </c>
      <c r="AG76">
        <v>28.093751710683549</v>
      </c>
      <c r="AH76">
        <v>27.924737031277139</v>
      </c>
    </row>
    <row r="77" spans="4:34" x14ac:dyDescent="0.2">
      <c r="D77" s="50">
        <v>-0.6</v>
      </c>
      <c r="E77">
        <v>6</v>
      </c>
      <c r="F77">
        <v>29.610006056815806</v>
      </c>
      <c r="G77">
        <v>29.446113034361098</v>
      </c>
      <c r="H77">
        <v>29.2822200119064</v>
      </c>
      <c r="I77">
        <v>29.118326989451695</v>
      </c>
      <c r="J77">
        <v>28.954433966996998</v>
      </c>
      <c r="K77">
        <v>28.790540944542304</v>
      </c>
      <c r="L77">
        <v>28.626647922087599</v>
      </c>
      <c r="M77">
        <v>28.462754899632898</v>
      </c>
      <c r="N77">
        <v>28.298861877178204</v>
      </c>
      <c r="O77">
        <v>28.1349688547235</v>
      </c>
      <c r="P77">
        <v>27.971075832268795</v>
      </c>
      <c r="Q77">
        <v>27.807182809814098</v>
      </c>
      <c r="R77">
        <v>27.643289787359404</v>
      </c>
      <c r="S77">
        <v>27.479396764904699</v>
      </c>
      <c r="T77">
        <v>27.315503742449998</v>
      </c>
      <c r="U77">
        <v>27.151610719995304</v>
      </c>
      <c r="V77">
        <v>26.987717697540603</v>
      </c>
      <c r="W77">
        <v>26.823824675085909</v>
      </c>
      <c r="X77">
        <v>26.659931652631204</v>
      </c>
      <c r="Y77">
        <v>26.496038630176507</v>
      </c>
      <c r="Z77">
        <v>26.332145607721806</v>
      </c>
      <c r="AA77">
        <v>26.168252585267098</v>
      </c>
      <c r="AB77">
        <v>26.004359562812397</v>
      </c>
      <c r="AC77">
        <v>25.840466540357699</v>
      </c>
      <c r="AD77">
        <v>25.676573517903002</v>
      </c>
      <c r="AE77">
        <v>25.512680495448301</v>
      </c>
      <c r="AF77">
        <v>25.348787472993603</v>
      </c>
      <c r="AG77">
        <v>25.184894450538902</v>
      </c>
      <c r="AH77">
        <v>25.021001428084197</v>
      </c>
    </row>
    <row r="78" spans="4:34" x14ac:dyDescent="0.2">
      <c r="D78" s="51">
        <v>-0.65</v>
      </c>
      <c r="E78">
        <v>5.25</v>
      </c>
      <c r="F78">
        <v>26.417506556916958</v>
      </c>
      <c r="G78">
        <v>26.262149629381774</v>
      </c>
      <c r="H78">
        <v>26.10679270184659</v>
      </c>
      <c r="I78">
        <v>25.951435774311403</v>
      </c>
      <c r="J78">
        <v>25.796078846776219</v>
      </c>
      <c r="K78">
        <v>25.640721919241034</v>
      </c>
      <c r="L78">
        <v>25.48536499170585</v>
      </c>
      <c r="M78">
        <v>25.330008064170666</v>
      </c>
      <c r="N78">
        <v>25.174651136635479</v>
      </c>
      <c r="O78">
        <v>25.019294209100298</v>
      </c>
      <c r="P78">
        <v>24.863937281565118</v>
      </c>
      <c r="Q78">
        <v>24.70858035402993</v>
      </c>
      <c r="R78">
        <v>24.553223426494746</v>
      </c>
      <c r="S78">
        <v>24.397866498959559</v>
      </c>
      <c r="T78">
        <v>24.242509571424375</v>
      </c>
      <c r="U78">
        <v>24.087152643889191</v>
      </c>
      <c r="V78">
        <v>23.931795716354006</v>
      </c>
      <c r="W78">
        <v>23.77643878881883</v>
      </c>
      <c r="X78">
        <v>23.621081861283638</v>
      </c>
      <c r="Y78">
        <v>23.465724933748458</v>
      </c>
      <c r="Z78">
        <v>23.31036800621327</v>
      </c>
      <c r="AA78">
        <v>23.155011078678083</v>
      </c>
      <c r="AB78">
        <v>22.999654151142902</v>
      </c>
      <c r="AC78">
        <v>22.844297223607715</v>
      </c>
      <c r="AD78">
        <v>22.688940296072534</v>
      </c>
      <c r="AE78">
        <v>22.533583368537347</v>
      </c>
      <c r="AF78">
        <v>22.378226441002159</v>
      </c>
      <c r="AG78">
        <v>22.222869513466978</v>
      </c>
      <c r="AH78">
        <v>22.067512585931794</v>
      </c>
    </row>
    <row r="79" spans="4:34" x14ac:dyDescent="0.2">
      <c r="D79" s="50">
        <v>-0.7</v>
      </c>
      <c r="E79">
        <v>4.5000000000000009</v>
      </c>
      <c r="F79">
        <v>23.079649554960078</v>
      </c>
      <c r="G79">
        <v>22.936243160312216</v>
      </c>
      <c r="H79">
        <v>22.792836765664354</v>
      </c>
      <c r="I79">
        <v>22.649430371016493</v>
      </c>
      <c r="J79">
        <v>22.506023976368628</v>
      </c>
      <c r="K79">
        <v>22.362617581720766</v>
      </c>
      <c r="L79">
        <v>22.219211187072904</v>
      </c>
      <c r="M79">
        <v>22.075804792425039</v>
      </c>
      <c r="N79">
        <v>21.932398397777177</v>
      </c>
      <c r="O79">
        <v>21.788992003129316</v>
      </c>
      <c r="P79">
        <v>21.645585608481451</v>
      </c>
      <c r="Q79">
        <v>21.502179213833593</v>
      </c>
      <c r="R79">
        <v>21.358772819185734</v>
      </c>
      <c r="S79">
        <v>21.215366424537866</v>
      </c>
      <c r="T79">
        <v>21.071960029890004</v>
      </c>
      <c r="U79">
        <v>20.928553635242142</v>
      </c>
      <c r="V79">
        <v>20.785147240594281</v>
      </c>
      <c r="W79">
        <v>20.641740845946423</v>
      </c>
      <c r="X79">
        <v>20.498334451298554</v>
      </c>
      <c r="Y79">
        <v>20.354928056650692</v>
      </c>
      <c r="Z79">
        <v>20.211521662002831</v>
      </c>
      <c r="AA79">
        <v>20.068115267354969</v>
      </c>
      <c r="AB79">
        <v>19.924708872707104</v>
      </c>
      <c r="AC79">
        <v>19.781302478059239</v>
      </c>
      <c r="AD79">
        <v>19.63789608341138</v>
      </c>
      <c r="AE79">
        <v>19.494489688763515</v>
      </c>
      <c r="AF79">
        <v>19.351083294115654</v>
      </c>
      <c r="AG79">
        <v>19.207676899467792</v>
      </c>
      <c r="AH79">
        <v>19.064270504819927</v>
      </c>
    </row>
    <row r="82" spans="4:70" x14ac:dyDescent="0.2">
      <c r="AM82" s="66" t="s">
        <v>119</v>
      </c>
      <c r="AN82" s="57"/>
      <c r="AO82" s="57"/>
      <c r="AP82" s="53" t="s">
        <v>5</v>
      </c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</row>
    <row r="83" spans="4:70" x14ac:dyDescent="0.2">
      <c r="AM83" s="57"/>
      <c r="AN83" s="57"/>
      <c r="AO83" s="57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</row>
    <row r="84" spans="4:70" x14ac:dyDescent="0.2">
      <c r="AM84" s="57"/>
      <c r="AN84" s="57"/>
      <c r="AO84" s="57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</row>
    <row r="85" spans="4:70" ht="17" x14ac:dyDescent="0.2">
      <c r="AM85" s="57"/>
      <c r="AN85" s="57"/>
      <c r="AO85" s="57"/>
      <c r="AP85" s="55">
        <v>25.5</v>
      </c>
      <c r="AQ85" s="55">
        <v>24.75</v>
      </c>
      <c r="AR85" s="55">
        <v>24</v>
      </c>
      <c r="AS85" s="55">
        <v>23.25</v>
      </c>
      <c r="AT85" s="55">
        <v>22.5</v>
      </c>
      <c r="AU85" s="55">
        <v>21.75</v>
      </c>
      <c r="AV85" s="55">
        <v>21</v>
      </c>
      <c r="AW85" s="55">
        <v>20.25</v>
      </c>
      <c r="AX85" s="55">
        <v>19.5</v>
      </c>
      <c r="AY85" s="55">
        <v>18.75</v>
      </c>
      <c r="AZ85" s="55">
        <v>18</v>
      </c>
      <c r="BA85" s="55">
        <v>17.25</v>
      </c>
      <c r="BB85" s="55">
        <v>16.5</v>
      </c>
      <c r="BC85" s="55">
        <v>15.75</v>
      </c>
      <c r="BD85" s="56">
        <v>15</v>
      </c>
      <c r="BE85" s="55">
        <v>14.250000000000014</v>
      </c>
      <c r="BF85" s="55">
        <v>13.500000000000014</v>
      </c>
      <c r="BG85" s="55">
        <v>12.750000000000014</v>
      </c>
      <c r="BH85" s="55">
        <v>12.000000000000014</v>
      </c>
      <c r="BI85" s="55">
        <v>11.250000000000014</v>
      </c>
      <c r="BJ85" s="55">
        <v>10.500000000000016</v>
      </c>
      <c r="BK85" s="55">
        <v>9.75</v>
      </c>
      <c r="BL85" s="55">
        <v>9</v>
      </c>
      <c r="BM85" s="55">
        <v>8.25</v>
      </c>
      <c r="BN85" s="55">
        <v>7.5</v>
      </c>
      <c r="BO85" s="55">
        <v>6.7499999999999991</v>
      </c>
      <c r="BP85" s="55">
        <v>6</v>
      </c>
      <c r="BQ85" s="55">
        <v>5.25</v>
      </c>
      <c r="BR85" s="55">
        <v>4.5000000000000009</v>
      </c>
    </row>
    <row r="86" spans="4:70" ht="17" x14ac:dyDescent="0.2">
      <c r="D86" t="str">
        <f>"客车价格弹性系数 = "&amp;TEXT(E86,"0.000")</f>
        <v>客车价格弹性系数 = 0.000</v>
      </c>
      <c r="F86">
        <v>25.5</v>
      </c>
      <c r="G86">
        <v>24.75</v>
      </c>
      <c r="H86">
        <v>24</v>
      </c>
      <c r="I86">
        <v>23.25</v>
      </c>
      <c r="J86">
        <v>22.5</v>
      </c>
      <c r="K86">
        <v>21.75</v>
      </c>
      <c r="L86">
        <v>21</v>
      </c>
      <c r="M86">
        <v>20.25</v>
      </c>
      <c r="N86">
        <v>19.5</v>
      </c>
      <c r="O86">
        <v>18.75</v>
      </c>
      <c r="P86">
        <v>18</v>
      </c>
      <c r="Q86">
        <v>17.25</v>
      </c>
      <c r="R86">
        <v>16.5</v>
      </c>
      <c r="S86">
        <v>15.75</v>
      </c>
      <c r="T86" s="24">
        <v>15</v>
      </c>
      <c r="U86">
        <v>14.250000000000014</v>
      </c>
      <c r="V86">
        <v>13.500000000000014</v>
      </c>
      <c r="W86">
        <v>12.750000000000014</v>
      </c>
      <c r="X86">
        <v>12.000000000000014</v>
      </c>
      <c r="Y86">
        <v>11.250000000000014</v>
      </c>
      <c r="Z86">
        <v>10.500000000000016</v>
      </c>
      <c r="AA86">
        <v>9.75</v>
      </c>
      <c r="AB86">
        <v>9</v>
      </c>
      <c r="AC86">
        <v>8.25</v>
      </c>
      <c r="AD86">
        <v>7.5</v>
      </c>
      <c r="AE86">
        <v>6.7499999999999991</v>
      </c>
      <c r="AF86">
        <v>6</v>
      </c>
      <c r="AG86">
        <v>5.25</v>
      </c>
      <c r="AH86">
        <v>4.5000000000000009</v>
      </c>
      <c r="AM86" s="57" t="s">
        <v>78</v>
      </c>
      <c r="AN86" s="58"/>
      <c r="AO86" s="59">
        <v>0.85</v>
      </c>
      <c r="AP86" s="60">
        <v>61.594509831814577</v>
      </c>
      <c r="AQ86" s="60">
        <v>62.181305385424707</v>
      </c>
      <c r="AR86" s="60">
        <v>62.622743436976805</v>
      </c>
      <c r="AS86" s="60">
        <v>62.918823986470855</v>
      </c>
      <c r="AT86" s="60">
        <v>63.069547033906872</v>
      </c>
      <c r="AU86" s="60">
        <v>63.074912579284842</v>
      </c>
      <c r="AV86" s="60">
        <v>62.934920622604793</v>
      </c>
      <c r="AW86" s="60">
        <v>62.649571163866703</v>
      </c>
      <c r="AX86" s="60">
        <v>62.218864203070574</v>
      </c>
      <c r="AY86" s="60">
        <v>61.642799740216404</v>
      </c>
      <c r="AZ86" s="60">
        <v>60.921377775304201</v>
      </c>
      <c r="BA86" s="60">
        <v>60.054598308333965</v>
      </c>
      <c r="BB86" s="60">
        <v>59.042461339305675</v>
      </c>
      <c r="BC86" s="60">
        <v>57.884966868219351</v>
      </c>
      <c r="BD86" s="61">
        <v>56.582114895074994</v>
      </c>
      <c r="BE86" s="60">
        <v>55.133905419872626</v>
      </c>
      <c r="BF86" s="60">
        <v>53.54033844261221</v>
      </c>
      <c r="BG86" s="60">
        <v>51.80141396329374</v>
      </c>
      <c r="BH86" s="60">
        <v>49.917131981917237</v>
      </c>
      <c r="BI86" s="60">
        <v>47.887492498482693</v>
      </c>
      <c r="BJ86" s="60">
        <v>45.712495512990117</v>
      </c>
      <c r="BK86" s="60">
        <v>43.392141025439457</v>
      </c>
      <c r="BL86" s="60">
        <v>40.926429035830807</v>
      </c>
      <c r="BM86" s="60">
        <v>38.31535954416411</v>
      </c>
      <c r="BN86" s="60">
        <v>35.55893255043938</v>
      </c>
      <c r="BO86" s="60">
        <v>32.657148054656602</v>
      </c>
      <c r="BP86" s="60">
        <v>29.610006056815806</v>
      </c>
      <c r="BQ86" s="60">
        <v>26.417506556916958</v>
      </c>
      <c r="BR86" s="60">
        <v>23.079649554960078</v>
      </c>
    </row>
    <row r="87" spans="4:70" ht="17" x14ac:dyDescent="0.2">
      <c r="E87" t="s">
        <v>90</v>
      </c>
      <c r="F87" s="24">
        <v>61.594509831814577</v>
      </c>
      <c r="G87" s="24">
        <v>62.181305385424707</v>
      </c>
      <c r="H87" s="24">
        <v>62.622743436976805</v>
      </c>
      <c r="I87" s="24">
        <v>62.918823986470855</v>
      </c>
      <c r="J87" s="24">
        <v>63.069547033906872</v>
      </c>
      <c r="K87" s="24">
        <v>63.074912579284842</v>
      </c>
      <c r="L87" s="24">
        <v>62.934920622604793</v>
      </c>
      <c r="M87" s="24">
        <v>62.649571163866703</v>
      </c>
      <c r="N87" s="24">
        <v>62.218864203070574</v>
      </c>
      <c r="O87" s="24">
        <v>61.642799740216404</v>
      </c>
      <c r="P87" s="24">
        <v>60.921377775304201</v>
      </c>
      <c r="Q87" s="24">
        <v>60.054598308333965</v>
      </c>
      <c r="R87" s="24">
        <v>59.042461339305675</v>
      </c>
      <c r="S87" s="24">
        <v>57.884966868219351</v>
      </c>
      <c r="T87" s="24">
        <v>56.582114895074994</v>
      </c>
      <c r="U87" s="24">
        <v>55.133905419872626</v>
      </c>
      <c r="V87" s="24">
        <v>53.54033844261221</v>
      </c>
      <c r="W87" s="24">
        <v>51.80141396329374</v>
      </c>
      <c r="X87" s="24">
        <v>49.917131981917237</v>
      </c>
      <c r="Y87" s="24">
        <v>47.887492498482693</v>
      </c>
      <c r="Z87" s="24">
        <v>45.712495512990117</v>
      </c>
      <c r="AA87" s="24">
        <v>43.392141025439457</v>
      </c>
      <c r="AB87" s="24">
        <v>40.926429035830807</v>
      </c>
      <c r="AC87" s="24">
        <v>38.31535954416411</v>
      </c>
      <c r="AD87" s="24">
        <v>35.55893255043938</v>
      </c>
      <c r="AE87" s="24">
        <v>32.657148054656602</v>
      </c>
      <c r="AF87" s="24">
        <v>29.610006056815806</v>
      </c>
      <c r="AG87" s="24">
        <v>26.417506556916958</v>
      </c>
      <c r="AH87" s="24">
        <v>23.079649554960078</v>
      </c>
      <c r="AM87" s="57"/>
      <c r="AN87" s="58"/>
      <c r="AO87" s="59">
        <v>0.82499999999999996</v>
      </c>
      <c r="AP87" s="60">
        <v>62.407146068152478</v>
      </c>
      <c r="AQ87" s="60">
        <v>62.913702329519147</v>
      </c>
      <c r="AR87" s="60">
        <v>63.278315526795602</v>
      </c>
      <c r="AS87" s="60">
        <v>63.500985659981829</v>
      </c>
      <c r="AT87" s="60">
        <v>63.581712729077815</v>
      </c>
      <c r="AU87" s="60">
        <v>63.520496734083572</v>
      </c>
      <c r="AV87" s="60">
        <v>63.317337674999095</v>
      </c>
      <c r="AW87" s="60">
        <v>62.972235551824397</v>
      </c>
      <c r="AX87" s="60">
        <v>62.485190364559465</v>
      </c>
      <c r="AY87" s="60">
        <v>61.85620211320429</v>
      </c>
      <c r="AZ87" s="60">
        <v>61.085270797758895</v>
      </c>
      <c r="BA87" s="60">
        <v>60.172396418223272</v>
      </c>
      <c r="BB87" s="60">
        <v>59.117578974597407</v>
      </c>
      <c r="BC87" s="60">
        <v>57.920818466881329</v>
      </c>
      <c r="BD87" s="61">
        <v>56.582114895074994</v>
      </c>
      <c r="BE87" s="60">
        <v>55.101468259178482</v>
      </c>
      <c r="BF87" s="60">
        <v>53.478878559191699</v>
      </c>
      <c r="BG87" s="60">
        <v>51.714345795114681</v>
      </c>
      <c r="BH87" s="60">
        <v>49.807869966947436</v>
      </c>
      <c r="BI87" s="60">
        <v>47.759451074689963</v>
      </c>
      <c r="BJ87" s="60">
        <v>45.569089118342269</v>
      </c>
      <c r="BK87" s="60">
        <v>43.236784097904277</v>
      </c>
      <c r="BL87" s="60">
        <v>40.762536013376106</v>
      </c>
      <c r="BM87" s="60">
        <v>38.146344864757694</v>
      </c>
      <c r="BN87" s="60">
        <v>35.388210652049068</v>
      </c>
      <c r="BO87" s="60">
        <v>32.488133375250186</v>
      </c>
      <c r="BP87" s="60">
        <v>29.446113034361098</v>
      </c>
      <c r="BQ87" s="60">
        <v>26.262149629381774</v>
      </c>
      <c r="BR87" s="60">
        <v>22.936243160312216</v>
      </c>
    </row>
    <row r="88" spans="4:70" ht="17" x14ac:dyDescent="0.2">
      <c r="E88" t="s">
        <v>91</v>
      </c>
      <c r="F88" s="24">
        <v>62.407146068152478</v>
      </c>
      <c r="G88" s="24">
        <v>62.913702329519147</v>
      </c>
      <c r="H88" s="24">
        <v>63.278315526795602</v>
      </c>
      <c r="I88" s="24">
        <v>63.500985659981829</v>
      </c>
      <c r="J88" s="24">
        <v>63.581712729077815</v>
      </c>
      <c r="K88" s="24">
        <v>63.520496734083572</v>
      </c>
      <c r="L88" s="24">
        <v>63.317337674999095</v>
      </c>
      <c r="M88" s="24">
        <v>62.972235551824397</v>
      </c>
      <c r="N88" s="24">
        <v>62.485190364559465</v>
      </c>
      <c r="O88" s="24">
        <v>61.85620211320429</v>
      </c>
      <c r="P88" s="24">
        <v>61.085270797758895</v>
      </c>
      <c r="Q88" s="24">
        <v>60.172396418223272</v>
      </c>
      <c r="R88" s="24">
        <v>59.117578974597407</v>
      </c>
      <c r="S88" s="24">
        <v>57.920818466881329</v>
      </c>
      <c r="T88" s="24">
        <v>56.582114895074994</v>
      </c>
      <c r="U88" s="24">
        <v>55.101468259178482</v>
      </c>
      <c r="V88" s="24">
        <v>53.478878559191699</v>
      </c>
      <c r="W88" s="24">
        <v>51.714345795114681</v>
      </c>
      <c r="X88" s="24">
        <v>49.807869966947436</v>
      </c>
      <c r="Y88" s="24">
        <v>47.759451074689963</v>
      </c>
      <c r="Z88" s="24">
        <v>45.569089118342269</v>
      </c>
      <c r="AA88" s="24">
        <v>43.236784097904277</v>
      </c>
      <c r="AB88" s="24">
        <v>40.762536013376106</v>
      </c>
      <c r="AC88" s="24">
        <v>38.146344864757694</v>
      </c>
      <c r="AD88" s="24">
        <v>35.388210652049068</v>
      </c>
      <c r="AE88" s="24">
        <v>32.488133375250186</v>
      </c>
      <c r="AF88" s="24">
        <v>29.446113034361098</v>
      </c>
      <c r="AG88" s="24">
        <v>26.262149629381774</v>
      </c>
      <c r="AH88" s="24">
        <v>22.936243160312216</v>
      </c>
      <c r="AM88" s="57"/>
      <c r="AN88" s="58"/>
      <c r="AO88" s="59">
        <v>0.8</v>
      </c>
      <c r="AP88" s="60">
        <v>63.219782304490352</v>
      </c>
      <c r="AQ88" s="60">
        <v>63.646099273613586</v>
      </c>
      <c r="AR88" s="60">
        <v>63.933887616614399</v>
      </c>
      <c r="AS88" s="60">
        <v>64.083147333492789</v>
      </c>
      <c r="AT88" s="60">
        <v>64.093878424248743</v>
      </c>
      <c r="AU88" s="60">
        <v>63.966080888882281</v>
      </c>
      <c r="AV88" s="60">
        <v>63.69975472739339</v>
      </c>
      <c r="AW88" s="60">
        <v>63.294899939782084</v>
      </c>
      <c r="AX88" s="60">
        <v>62.751516526048349</v>
      </c>
      <c r="AY88" s="60">
        <v>62.069604486192191</v>
      </c>
      <c r="AZ88" s="60">
        <v>61.249163820213603</v>
      </c>
      <c r="BA88" s="60">
        <v>60.290194528112593</v>
      </c>
      <c r="BB88" s="60">
        <v>59.192696609889154</v>
      </c>
      <c r="BC88" s="60">
        <v>57.956670065543285</v>
      </c>
      <c r="BD88" s="61">
        <v>56.582114895074994</v>
      </c>
      <c r="BE88" s="60">
        <v>55.069031098484317</v>
      </c>
      <c r="BF88" s="60">
        <v>53.417418675771174</v>
      </c>
      <c r="BG88" s="60">
        <v>51.627277626935616</v>
      </c>
      <c r="BH88" s="60">
        <v>49.698607951977635</v>
      </c>
      <c r="BI88" s="60">
        <v>47.631409650897233</v>
      </c>
      <c r="BJ88" s="60">
        <v>45.425682723694408</v>
      </c>
      <c r="BK88" s="60">
        <v>43.081427170369082</v>
      </c>
      <c r="BL88" s="60">
        <v>40.598642990921405</v>
      </c>
      <c r="BM88" s="60">
        <v>37.977330185351285</v>
      </c>
      <c r="BN88" s="60">
        <v>35.217488753658749</v>
      </c>
      <c r="BO88" s="60">
        <v>32.319118695843784</v>
      </c>
      <c r="BP88" s="60">
        <v>29.2822200119064</v>
      </c>
      <c r="BQ88" s="60">
        <v>26.10679270184659</v>
      </c>
      <c r="BR88" s="60">
        <v>22.792836765664354</v>
      </c>
    </row>
    <row r="89" spans="4:70" ht="17" x14ac:dyDescent="0.2">
      <c r="E89" t="s">
        <v>92</v>
      </c>
      <c r="F89" s="24">
        <v>63.219782304490352</v>
      </c>
      <c r="G89" s="24">
        <v>63.646099273613586</v>
      </c>
      <c r="H89" s="24">
        <v>63.933887616614399</v>
      </c>
      <c r="I89" s="24">
        <v>64.083147333492789</v>
      </c>
      <c r="J89" s="24">
        <v>64.093878424248743</v>
      </c>
      <c r="K89" s="24">
        <v>63.966080888882281</v>
      </c>
      <c r="L89" s="24">
        <v>63.69975472739339</v>
      </c>
      <c r="M89" s="24">
        <v>63.294899939782084</v>
      </c>
      <c r="N89" s="24">
        <v>62.751516526048349</v>
      </c>
      <c r="O89" s="24">
        <v>62.069604486192191</v>
      </c>
      <c r="P89" s="24">
        <v>61.249163820213603</v>
      </c>
      <c r="Q89" s="24">
        <v>60.290194528112593</v>
      </c>
      <c r="R89" s="24">
        <v>59.192696609889154</v>
      </c>
      <c r="S89" s="24">
        <v>57.956670065543285</v>
      </c>
      <c r="T89" s="24">
        <v>56.582114895074994</v>
      </c>
      <c r="U89" s="24">
        <v>55.069031098484317</v>
      </c>
      <c r="V89" s="24">
        <v>53.417418675771174</v>
      </c>
      <c r="W89" s="24">
        <v>51.627277626935616</v>
      </c>
      <c r="X89" s="24">
        <v>49.698607951977635</v>
      </c>
      <c r="Y89" s="24">
        <v>47.631409650897233</v>
      </c>
      <c r="Z89" s="24">
        <v>45.425682723694408</v>
      </c>
      <c r="AA89" s="24">
        <v>43.081427170369082</v>
      </c>
      <c r="AB89" s="24">
        <v>40.598642990921405</v>
      </c>
      <c r="AC89" s="24">
        <v>37.977330185351285</v>
      </c>
      <c r="AD89" s="24">
        <v>35.217488753658749</v>
      </c>
      <c r="AE89" s="24">
        <v>32.319118695843784</v>
      </c>
      <c r="AF89" s="24">
        <v>29.2822200119064</v>
      </c>
      <c r="AG89" s="24">
        <v>26.10679270184659</v>
      </c>
      <c r="AH89" s="24">
        <v>22.792836765664354</v>
      </c>
      <c r="AM89" s="57"/>
      <c r="AN89" s="58"/>
      <c r="AO89" s="59">
        <v>0.77500000000000002</v>
      </c>
      <c r="AP89" s="60">
        <v>64.032418540828246</v>
      </c>
      <c r="AQ89" s="60">
        <v>64.378496217708033</v>
      </c>
      <c r="AR89" s="60">
        <v>64.589459706433203</v>
      </c>
      <c r="AS89" s="60">
        <v>64.665309007003756</v>
      </c>
      <c r="AT89" s="60">
        <v>64.606044119419693</v>
      </c>
      <c r="AU89" s="60">
        <v>64.411665043680998</v>
      </c>
      <c r="AV89" s="60">
        <v>64.0821717797877</v>
      </c>
      <c r="AW89" s="60">
        <v>63.617564327739778</v>
      </c>
      <c r="AX89" s="60">
        <v>63.017842687537239</v>
      </c>
      <c r="AY89" s="60">
        <v>62.283006859180077</v>
      </c>
      <c r="AZ89" s="60">
        <v>61.413056842668311</v>
      </c>
      <c r="BA89" s="60">
        <v>60.4079926380019</v>
      </c>
      <c r="BB89" s="60">
        <v>59.267814245180887</v>
      </c>
      <c r="BC89" s="60">
        <v>57.992521664205256</v>
      </c>
      <c r="BD89" s="61">
        <v>56.582114895074994</v>
      </c>
      <c r="BE89" s="60">
        <v>55.036593937790151</v>
      </c>
      <c r="BF89" s="60">
        <v>53.35595879235067</v>
      </c>
      <c r="BG89" s="60">
        <v>51.540209458756564</v>
      </c>
      <c r="BH89" s="60">
        <v>49.589345937007835</v>
      </c>
      <c r="BI89" s="60">
        <v>47.503368227104488</v>
      </c>
      <c r="BJ89" s="60">
        <v>45.282276329046539</v>
      </c>
      <c r="BK89" s="60">
        <v>42.926070242833909</v>
      </c>
      <c r="BL89" s="60">
        <v>40.434749968466704</v>
      </c>
      <c r="BM89" s="60">
        <v>37.808315505944876</v>
      </c>
      <c r="BN89" s="60">
        <v>35.046766855268437</v>
      </c>
      <c r="BO89" s="60">
        <v>32.150104016437375</v>
      </c>
      <c r="BP89" s="60">
        <v>29.118326989451695</v>
      </c>
      <c r="BQ89" s="60">
        <v>25.951435774311403</v>
      </c>
      <c r="BR89" s="60">
        <v>22.649430371016493</v>
      </c>
    </row>
    <row r="90" spans="4:70" ht="17" x14ac:dyDescent="0.2">
      <c r="E90" t="s">
        <v>93</v>
      </c>
      <c r="F90" s="24">
        <v>64.032418540828246</v>
      </c>
      <c r="G90" s="24">
        <v>64.378496217708033</v>
      </c>
      <c r="H90" s="24">
        <v>64.589459706433203</v>
      </c>
      <c r="I90" s="24">
        <v>64.665309007003756</v>
      </c>
      <c r="J90" s="24">
        <v>64.606044119419693</v>
      </c>
      <c r="K90" s="24">
        <v>64.411665043680998</v>
      </c>
      <c r="L90" s="24">
        <v>64.0821717797877</v>
      </c>
      <c r="M90" s="24">
        <v>63.617564327739778</v>
      </c>
      <c r="N90" s="24">
        <v>63.017842687537239</v>
      </c>
      <c r="O90" s="24">
        <v>62.283006859180077</v>
      </c>
      <c r="P90" s="24">
        <v>61.413056842668311</v>
      </c>
      <c r="Q90" s="24">
        <v>60.4079926380019</v>
      </c>
      <c r="R90" s="24">
        <v>59.267814245180887</v>
      </c>
      <c r="S90" s="24">
        <v>57.992521664205256</v>
      </c>
      <c r="T90" s="24">
        <v>56.582114895074994</v>
      </c>
      <c r="U90" s="24">
        <v>55.036593937790151</v>
      </c>
      <c r="V90" s="24">
        <v>53.35595879235067</v>
      </c>
      <c r="W90" s="24">
        <v>51.540209458756564</v>
      </c>
      <c r="X90" s="24">
        <v>49.589345937007835</v>
      </c>
      <c r="Y90" s="24">
        <v>47.503368227104488</v>
      </c>
      <c r="Z90" s="24">
        <v>45.282276329046539</v>
      </c>
      <c r="AA90" s="24">
        <v>42.926070242833909</v>
      </c>
      <c r="AB90" s="24">
        <v>40.434749968466704</v>
      </c>
      <c r="AC90" s="24">
        <v>37.808315505944876</v>
      </c>
      <c r="AD90" s="24">
        <v>35.046766855268437</v>
      </c>
      <c r="AE90" s="24">
        <v>32.150104016437375</v>
      </c>
      <c r="AF90" s="24">
        <v>29.118326989451695</v>
      </c>
      <c r="AG90" s="24">
        <v>25.951435774311403</v>
      </c>
      <c r="AH90" s="24">
        <v>22.649430371016493</v>
      </c>
      <c r="AM90" s="57"/>
      <c r="AN90" s="58"/>
      <c r="AO90" s="59">
        <v>0.75</v>
      </c>
      <c r="AP90" s="60">
        <v>64.845054777166141</v>
      </c>
      <c r="AQ90" s="60">
        <v>65.110893161802466</v>
      </c>
      <c r="AR90" s="60">
        <v>65.245031796252007</v>
      </c>
      <c r="AS90" s="60">
        <v>65.247470680514709</v>
      </c>
      <c r="AT90" s="60">
        <v>65.118209814590628</v>
      </c>
      <c r="AU90" s="60">
        <v>64.857249198479721</v>
      </c>
      <c r="AV90" s="60">
        <v>64.464588832182002</v>
      </c>
      <c r="AW90" s="60">
        <v>63.940228715697472</v>
      </c>
      <c r="AX90" s="60">
        <v>63.28416884902613</v>
      </c>
      <c r="AY90" s="60">
        <v>62.496409232167963</v>
      </c>
      <c r="AZ90" s="60">
        <v>61.576949865123005</v>
      </c>
      <c r="BA90" s="60">
        <v>60.525790747891214</v>
      </c>
      <c r="BB90" s="60">
        <v>59.342931880472626</v>
      </c>
      <c r="BC90" s="60">
        <v>58.02837326286722</v>
      </c>
      <c r="BD90" s="61">
        <v>56.582114895074994</v>
      </c>
      <c r="BE90" s="60">
        <v>55.004156777096</v>
      </c>
      <c r="BF90" s="60">
        <v>53.294498908930152</v>
      </c>
      <c r="BG90" s="60">
        <v>51.453141290577506</v>
      </c>
      <c r="BH90" s="60">
        <v>49.480083922038034</v>
      </c>
      <c r="BI90" s="60">
        <v>47.375326803311765</v>
      </c>
      <c r="BJ90" s="60">
        <v>45.138869934398677</v>
      </c>
      <c r="BK90" s="60">
        <v>42.770713315298721</v>
      </c>
      <c r="BL90" s="60">
        <v>40.270856946012003</v>
      </c>
      <c r="BM90" s="60">
        <v>37.639300826538474</v>
      </c>
      <c r="BN90" s="60">
        <v>34.876044956878133</v>
      </c>
      <c r="BO90" s="60">
        <v>31.981089337030966</v>
      </c>
      <c r="BP90" s="60">
        <v>28.954433966996998</v>
      </c>
      <c r="BQ90" s="60">
        <v>25.796078846776219</v>
      </c>
      <c r="BR90" s="60">
        <v>22.506023976368628</v>
      </c>
    </row>
    <row r="91" spans="4:70" ht="17" x14ac:dyDescent="0.2">
      <c r="E91" t="s">
        <v>94</v>
      </c>
      <c r="F91" s="24">
        <v>64.845054777166141</v>
      </c>
      <c r="G91" s="24">
        <v>65.110893161802466</v>
      </c>
      <c r="H91" s="24">
        <v>65.245031796252007</v>
      </c>
      <c r="I91" s="24">
        <v>65.247470680514709</v>
      </c>
      <c r="J91" s="24">
        <v>65.118209814590628</v>
      </c>
      <c r="K91" s="24">
        <v>64.857249198479721</v>
      </c>
      <c r="L91" s="24">
        <v>64.464588832182002</v>
      </c>
      <c r="M91" s="24">
        <v>63.940228715697472</v>
      </c>
      <c r="N91" s="24">
        <v>63.28416884902613</v>
      </c>
      <c r="O91" s="24">
        <v>62.496409232167963</v>
      </c>
      <c r="P91" s="24">
        <v>61.576949865123005</v>
      </c>
      <c r="Q91" s="24">
        <v>60.525790747891214</v>
      </c>
      <c r="R91" s="24">
        <v>59.342931880472626</v>
      </c>
      <c r="S91" s="24">
        <v>58.02837326286722</v>
      </c>
      <c r="T91" s="24">
        <v>56.582114895074994</v>
      </c>
      <c r="U91" s="24">
        <v>55.004156777096</v>
      </c>
      <c r="V91" s="24">
        <v>53.294498908930152</v>
      </c>
      <c r="W91" s="24">
        <v>51.453141290577506</v>
      </c>
      <c r="X91" s="24">
        <v>49.480083922038034</v>
      </c>
      <c r="Y91" s="24">
        <v>47.375326803311765</v>
      </c>
      <c r="Z91" s="24">
        <v>45.138869934398677</v>
      </c>
      <c r="AA91" s="24">
        <v>42.770713315298721</v>
      </c>
      <c r="AB91" s="24">
        <v>40.270856946012003</v>
      </c>
      <c r="AC91" s="24">
        <v>37.639300826538474</v>
      </c>
      <c r="AD91" s="24">
        <v>34.876044956878133</v>
      </c>
      <c r="AE91" s="24">
        <v>31.981089337030966</v>
      </c>
      <c r="AF91" s="24">
        <v>28.954433966996998</v>
      </c>
      <c r="AG91" s="24">
        <v>25.796078846776219</v>
      </c>
      <c r="AH91" s="24">
        <v>22.506023976368628</v>
      </c>
      <c r="AM91" s="57"/>
      <c r="AN91" s="58"/>
      <c r="AO91" s="59">
        <v>0.72499999999999998</v>
      </c>
      <c r="AP91" s="60">
        <v>65.657691013504021</v>
      </c>
      <c r="AQ91" s="60">
        <v>65.843290105896912</v>
      </c>
      <c r="AR91" s="60">
        <v>65.900603886070797</v>
      </c>
      <c r="AS91" s="60">
        <v>65.829632354025676</v>
      </c>
      <c r="AT91" s="60">
        <v>65.630375509761564</v>
      </c>
      <c r="AU91" s="60">
        <v>65.302833353278444</v>
      </c>
      <c r="AV91" s="60">
        <v>64.847005884576291</v>
      </c>
      <c r="AW91" s="60">
        <v>64.262893103655159</v>
      </c>
      <c r="AX91" s="60">
        <v>63.550495010515007</v>
      </c>
      <c r="AY91" s="60">
        <v>62.709811605155863</v>
      </c>
      <c r="AZ91" s="60">
        <v>61.740842887577699</v>
      </c>
      <c r="BA91" s="60">
        <v>60.643588857780536</v>
      </c>
      <c r="BB91" s="60">
        <v>59.418049515764366</v>
      </c>
      <c r="BC91" s="60">
        <v>58.064224861529176</v>
      </c>
      <c r="BD91" s="61">
        <v>56.582114895074994</v>
      </c>
      <c r="BE91" s="60">
        <v>54.971719616401835</v>
      </c>
      <c r="BF91" s="60">
        <v>53.233039025509648</v>
      </c>
      <c r="BG91" s="60">
        <v>51.36607312239844</v>
      </c>
      <c r="BH91" s="60">
        <v>49.370821907068233</v>
      </c>
      <c r="BI91" s="60">
        <v>47.247285379519028</v>
      </c>
      <c r="BJ91" s="60">
        <v>44.995463539750808</v>
      </c>
      <c r="BK91" s="60">
        <v>42.615356387763541</v>
      </c>
      <c r="BL91" s="60">
        <v>40.106963923557302</v>
      </c>
      <c r="BM91" s="60">
        <v>37.470286147132057</v>
      </c>
      <c r="BN91" s="60">
        <v>34.705323058487814</v>
      </c>
      <c r="BO91" s="60">
        <v>31.812074657624557</v>
      </c>
      <c r="BP91" s="60">
        <v>28.790540944542304</v>
      </c>
      <c r="BQ91" s="60">
        <v>25.640721919241034</v>
      </c>
      <c r="BR91" s="60">
        <v>22.362617581720766</v>
      </c>
    </row>
    <row r="92" spans="4:70" ht="17" x14ac:dyDescent="0.2">
      <c r="E92" t="s">
        <v>95</v>
      </c>
      <c r="F92" s="24">
        <v>65.657691013504021</v>
      </c>
      <c r="G92" s="24">
        <v>65.843290105896912</v>
      </c>
      <c r="H92" s="24">
        <v>65.900603886070797</v>
      </c>
      <c r="I92" s="24">
        <v>65.829632354025676</v>
      </c>
      <c r="J92" s="24">
        <v>65.630375509761564</v>
      </c>
      <c r="K92" s="24">
        <v>65.302833353278444</v>
      </c>
      <c r="L92" s="24">
        <v>64.847005884576291</v>
      </c>
      <c r="M92" s="24">
        <v>64.262893103655159</v>
      </c>
      <c r="N92" s="24">
        <v>63.550495010515007</v>
      </c>
      <c r="O92" s="24">
        <v>62.709811605155863</v>
      </c>
      <c r="P92" s="24">
        <v>61.740842887577699</v>
      </c>
      <c r="Q92" s="24">
        <v>60.643588857780536</v>
      </c>
      <c r="R92" s="24">
        <v>59.418049515764366</v>
      </c>
      <c r="S92" s="24">
        <v>58.064224861529176</v>
      </c>
      <c r="T92" s="24">
        <v>56.582114895074994</v>
      </c>
      <c r="U92" s="24">
        <v>54.971719616401835</v>
      </c>
      <c r="V92" s="24">
        <v>53.233039025509648</v>
      </c>
      <c r="W92" s="24">
        <v>51.36607312239844</v>
      </c>
      <c r="X92" s="24">
        <v>49.370821907068233</v>
      </c>
      <c r="Y92" s="24">
        <v>47.247285379519028</v>
      </c>
      <c r="Z92" s="24">
        <v>44.995463539750808</v>
      </c>
      <c r="AA92" s="24">
        <v>42.615356387763541</v>
      </c>
      <c r="AB92" s="24">
        <v>40.106963923557302</v>
      </c>
      <c r="AC92" s="24">
        <v>37.470286147132057</v>
      </c>
      <c r="AD92" s="24">
        <v>34.705323058487814</v>
      </c>
      <c r="AE92" s="24">
        <v>31.812074657624557</v>
      </c>
      <c r="AF92" s="24">
        <v>28.790540944542304</v>
      </c>
      <c r="AG92" s="24">
        <v>25.640721919241034</v>
      </c>
      <c r="AH92" s="24">
        <v>22.362617581720766</v>
      </c>
      <c r="AM92" s="57"/>
      <c r="AN92" s="58"/>
      <c r="AO92" s="59">
        <v>0.7</v>
      </c>
      <c r="AP92" s="60">
        <v>66.470327249841901</v>
      </c>
      <c r="AQ92" s="60">
        <v>66.575687049991345</v>
      </c>
      <c r="AR92" s="60">
        <v>66.556175975889602</v>
      </c>
      <c r="AS92" s="60">
        <v>66.411794027536658</v>
      </c>
      <c r="AT92" s="60">
        <v>66.142541204932499</v>
      </c>
      <c r="AU92" s="60">
        <v>65.748417508077154</v>
      </c>
      <c r="AV92" s="60">
        <v>65.229422936970593</v>
      </c>
      <c r="AW92" s="60">
        <v>64.58555749161286</v>
      </c>
      <c r="AX92" s="60">
        <v>63.816821172003898</v>
      </c>
      <c r="AY92" s="60">
        <v>62.92321397814375</v>
      </c>
      <c r="AZ92" s="60">
        <v>61.904735910032407</v>
      </c>
      <c r="BA92" s="60">
        <v>60.76138696766985</v>
      </c>
      <c r="BB92" s="60">
        <v>59.493167151056099</v>
      </c>
      <c r="BC92" s="60">
        <v>58.100076460191147</v>
      </c>
      <c r="BD92" s="61">
        <v>56.582114895074994</v>
      </c>
      <c r="BE92" s="60">
        <v>54.939282455707676</v>
      </c>
      <c r="BF92" s="60">
        <v>53.171579142089129</v>
      </c>
      <c r="BG92" s="60">
        <v>51.279004954219388</v>
      </c>
      <c r="BH92" s="60">
        <v>49.261559892098433</v>
      </c>
      <c r="BI92" s="60">
        <v>47.119243955726297</v>
      </c>
      <c r="BJ92" s="60">
        <v>44.852057145102954</v>
      </c>
      <c r="BK92" s="60">
        <v>42.459999460228353</v>
      </c>
      <c r="BL92" s="60">
        <v>39.943070901102601</v>
      </c>
      <c r="BM92" s="60">
        <v>37.301271467725655</v>
      </c>
      <c r="BN92" s="60">
        <v>34.534601160097502</v>
      </c>
      <c r="BO92" s="60">
        <v>31.643059978218151</v>
      </c>
      <c r="BP92" s="60">
        <v>28.626647922087599</v>
      </c>
      <c r="BQ92" s="60">
        <v>25.48536499170585</v>
      </c>
      <c r="BR92" s="60">
        <v>22.219211187072904</v>
      </c>
    </row>
    <row r="93" spans="4:70" ht="17" x14ac:dyDescent="0.2">
      <c r="E93" t="s">
        <v>96</v>
      </c>
      <c r="F93" s="24">
        <v>66.470327249841901</v>
      </c>
      <c r="G93" s="24">
        <v>66.575687049991345</v>
      </c>
      <c r="H93" s="24">
        <v>66.556175975889602</v>
      </c>
      <c r="I93" s="24">
        <v>66.411794027536658</v>
      </c>
      <c r="J93" s="24">
        <v>66.142541204932499</v>
      </c>
      <c r="K93" s="24">
        <v>65.748417508077154</v>
      </c>
      <c r="L93" s="24">
        <v>65.229422936970593</v>
      </c>
      <c r="M93" s="24">
        <v>64.58555749161286</v>
      </c>
      <c r="N93" s="24">
        <v>63.816821172003898</v>
      </c>
      <c r="O93" s="24">
        <v>62.92321397814375</v>
      </c>
      <c r="P93" s="24">
        <v>61.904735910032407</v>
      </c>
      <c r="Q93" s="24">
        <v>60.76138696766985</v>
      </c>
      <c r="R93" s="24">
        <v>59.493167151056099</v>
      </c>
      <c r="S93" s="24">
        <v>58.100076460191147</v>
      </c>
      <c r="T93" s="24">
        <v>56.582114895074994</v>
      </c>
      <c r="U93" s="24">
        <v>54.939282455707676</v>
      </c>
      <c r="V93" s="24">
        <v>53.171579142089129</v>
      </c>
      <c r="W93" s="24">
        <v>51.279004954219388</v>
      </c>
      <c r="X93" s="24">
        <v>49.261559892098433</v>
      </c>
      <c r="Y93" s="24">
        <v>47.119243955726297</v>
      </c>
      <c r="Z93" s="24">
        <v>44.852057145102954</v>
      </c>
      <c r="AA93" s="24">
        <v>42.459999460228353</v>
      </c>
      <c r="AB93" s="24">
        <v>39.943070901102601</v>
      </c>
      <c r="AC93" s="24">
        <v>37.301271467725655</v>
      </c>
      <c r="AD93" s="24">
        <v>34.534601160097502</v>
      </c>
      <c r="AE93" s="24">
        <v>31.643059978218151</v>
      </c>
      <c r="AF93" s="24">
        <v>28.626647922087599</v>
      </c>
      <c r="AG93" s="24">
        <v>25.48536499170585</v>
      </c>
      <c r="AH93" s="24">
        <v>22.219211187072904</v>
      </c>
      <c r="AM93" s="57"/>
      <c r="AN93" s="58"/>
      <c r="AO93" s="59">
        <v>0.67500000000000004</v>
      </c>
      <c r="AP93" s="60">
        <v>67.282963486179796</v>
      </c>
      <c r="AQ93" s="60">
        <v>67.308083994085791</v>
      </c>
      <c r="AR93" s="60">
        <v>67.211748065708406</v>
      </c>
      <c r="AS93" s="60">
        <v>66.993955701047611</v>
      </c>
      <c r="AT93" s="60">
        <v>66.654706900103434</v>
      </c>
      <c r="AU93" s="60">
        <v>66.194001662875863</v>
      </c>
      <c r="AV93" s="60">
        <v>65.611839989364896</v>
      </c>
      <c r="AW93" s="60">
        <v>64.908221879570547</v>
      </c>
      <c r="AX93" s="60">
        <v>64.083147333492789</v>
      </c>
      <c r="AY93" s="60">
        <v>63.136616351131636</v>
      </c>
      <c r="AZ93" s="60">
        <v>62.068628932487101</v>
      </c>
      <c r="BA93" s="60">
        <v>60.879185077559157</v>
      </c>
      <c r="BB93" s="60">
        <v>59.568284786347839</v>
      </c>
      <c r="BC93" s="60">
        <v>58.135928058853125</v>
      </c>
      <c r="BD93" s="61">
        <v>56.582114895074994</v>
      </c>
      <c r="BE93" s="60">
        <v>54.906845295013525</v>
      </c>
      <c r="BF93" s="60">
        <v>53.110119258668625</v>
      </c>
      <c r="BG93" s="60">
        <v>51.191936786040323</v>
      </c>
      <c r="BH93" s="60">
        <v>49.152297877128632</v>
      </c>
      <c r="BI93" s="60">
        <v>46.991202531933553</v>
      </c>
      <c r="BJ93" s="60">
        <v>44.708650750455085</v>
      </c>
      <c r="BK93" s="60">
        <v>42.304642532693165</v>
      </c>
      <c r="BL93" s="60">
        <v>39.7791778786479</v>
      </c>
      <c r="BM93" s="60">
        <v>37.132256788319246</v>
      </c>
      <c r="BN93" s="60">
        <v>34.36387926170719</v>
      </c>
      <c r="BO93" s="60">
        <v>31.474045298811738</v>
      </c>
      <c r="BP93" s="60">
        <v>28.462754899632898</v>
      </c>
      <c r="BQ93" s="60">
        <v>25.330008064170666</v>
      </c>
      <c r="BR93" s="60">
        <v>22.075804792425039</v>
      </c>
    </row>
    <row r="94" spans="4:70" ht="17" x14ac:dyDescent="0.2">
      <c r="E94" t="s">
        <v>97</v>
      </c>
      <c r="F94" s="24">
        <v>67.282963486179796</v>
      </c>
      <c r="G94" s="24">
        <v>67.308083994085791</v>
      </c>
      <c r="H94" s="24">
        <v>67.211748065708406</v>
      </c>
      <c r="I94" s="24">
        <v>66.993955701047611</v>
      </c>
      <c r="J94" s="24">
        <v>66.654706900103434</v>
      </c>
      <c r="K94" s="24">
        <v>66.194001662875863</v>
      </c>
      <c r="L94" s="24">
        <v>65.611839989364896</v>
      </c>
      <c r="M94" s="24">
        <v>64.908221879570547</v>
      </c>
      <c r="N94" s="24">
        <v>64.083147333492789</v>
      </c>
      <c r="O94" s="24">
        <v>63.136616351131636</v>
      </c>
      <c r="P94" s="24">
        <v>62.068628932487101</v>
      </c>
      <c r="Q94" s="24">
        <v>60.879185077559157</v>
      </c>
      <c r="R94" s="24">
        <v>59.568284786347839</v>
      </c>
      <c r="S94" s="24">
        <v>58.135928058853125</v>
      </c>
      <c r="T94" s="24">
        <v>56.582114895074994</v>
      </c>
      <c r="U94" s="24">
        <v>54.906845295013525</v>
      </c>
      <c r="V94" s="24">
        <v>53.110119258668625</v>
      </c>
      <c r="W94" s="24">
        <v>51.191936786040323</v>
      </c>
      <c r="X94" s="24">
        <v>49.152297877128632</v>
      </c>
      <c r="Y94" s="24">
        <v>46.991202531933553</v>
      </c>
      <c r="Z94" s="24">
        <v>44.708650750455085</v>
      </c>
      <c r="AA94" s="24">
        <v>42.304642532693165</v>
      </c>
      <c r="AB94" s="24">
        <v>39.7791778786479</v>
      </c>
      <c r="AC94" s="24">
        <v>37.132256788319246</v>
      </c>
      <c r="AD94" s="24">
        <v>34.36387926170719</v>
      </c>
      <c r="AE94" s="24">
        <v>31.474045298811738</v>
      </c>
      <c r="AF94" s="24">
        <v>28.462754899632898</v>
      </c>
      <c r="AG94" s="24">
        <v>25.330008064170666</v>
      </c>
      <c r="AH94" s="24">
        <v>22.075804792425039</v>
      </c>
      <c r="AM94" s="57"/>
      <c r="AN94" s="58"/>
      <c r="AO94" s="59">
        <v>0.65</v>
      </c>
      <c r="AP94" s="60">
        <v>68.095599722517676</v>
      </c>
      <c r="AQ94" s="60">
        <v>68.040480938180224</v>
      </c>
      <c r="AR94" s="60">
        <v>67.867320155527196</v>
      </c>
      <c r="AS94" s="60">
        <v>67.576117374558592</v>
      </c>
      <c r="AT94" s="60">
        <v>67.16687259527437</v>
      </c>
      <c r="AU94" s="60">
        <v>66.639585817674572</v>
      </c>
      <c r="AV94" s="60">
        <v>65.994257041759198</v>
      </c>
      <c r="AW94" s="60">
        <v>65.230886267528234</v>
      </c>
      <c r="AX94" s="60">
        <v>64.349473494981666</v>
      </c>
      <c r="AY94" s="60">
        <v>63.350018724119536</v>
      </c>
      <c r="AZ94" s="60">
        <v>62.232521954941802</v>
      </c>
      <c r="BA94" s="60">
        <v>60.996983187448485</v>
      </c>
      <c r="BB94" s="60">
        <v>59.643402421639593</v>
      </c>
      <c r="BC94" s="60">
        <v>58.171779657515081</v>
      </c>
      <c r="BD94" s="61">
        <v>56.582114895074994</v>
      </c>
      <c r="BE94" s="60">
        <v>54.874408134319367</v>
      </c>
      <c r="BF94" s="60">
        <v>53.048659375248107</v>
      </c>
      <c r="BG94" s="60">
        <v>51.104868617861278</v>
      </c>
      <c r="BH94" s="60">
        <v>49.043035862158845</v>
      </c>
      <c r="BI94" s="60">
        <v>46.863161108140829</v>
      </c>
      <c r="BJ94" s="60">
        <v>44.565244355807231</v>
      </c>
      <c r="BK94" s="60">
        <v>42.149285605157985</v>
      </c>
      <c r="BL94" s="60">
        <v>39.615284856193206</v>
      </c>
      <c r="BM94" s="60">
        <v>36.963242108912837</v>
      </c>
      <c r="BN94" s="60">
        <v>34.193157363316878</v>
      </c>
      <c r="BO94" s="60">
        <v>31.305030619405326</v>
      </c>
      <c r="BP94" s="60">
        <v>28.298861877178204</v>
      </c>
      <c r="BQ94" s="60">
        <v>25.174651136635479</v>
      </c>
      <c r="BR94" s="60">
        <v>21.932398397777177</v>
      </c>
    </row>
    <row r="95" spans="4:70" ht="17" x14ac:dyDescent="0.2">
      <c r="E95" t="s">
        <v>98</v>
      </c>
      <c r="F95" s="24">
        <v>68.095599722517676</v>
      </c>
      <c r="G95" s="24">
        <v>68.040480938180224</v>
      </c>
      <c r="H95" s="24">
        <v>67.867320155527196</v>
      </c>
      <c r="I95" s="24">
        <v>67.576117374558592</v>
      </c>
      <c r="J95" s="24">
        <v>67.16687259527437</v>
      </c>
      <c r="K95" s="24">
        <v>66.639585817674572</v>
      </c>
      <c r="L95" s="24">
        <v>65.994257041759198</v>
      </c>
      <c r="M95" s="24">
        <v>65.230886267528234</v>
      </c>
      <c r="N95" s="24">
        <v>64.349473494981666</v>
      </c>
      <c r="O95" s="24">
        <v>63.350018724119536</v>
      </c>
      <c r="P95" s="24">
        <v>62.232521954941802</v>
      </c>
      <c r="Q95" s="24">
        <v>60.996983187448485</v>
      </c>
      <c r="R95" s="24">
        <v>59.643402421639593</v>
      </c>
      <c r="S95" s="24">
        <v>58.171779657515081</v>
      </c>
      <c r="T95" s="24">
        <v>56.582114895074994</v>
      </c>
      <c r="U95" s="24">
        <v>54.874408134319367</v>
      </c>
      <c r="V95" s="24">
        <v>53.048659375248107</v>
      </c>
      <c r="W95" s="24">
        <v>51.104868617861278</v>
      </c>
      <c r="X95" s="24">
        <v>49.043035862158845</v>
      </c>
      <c r="Y95" s="24">
        <v>46.863161108140829</v>
      </c>
      <c r="Z95" s="24">
        <v>44.565244355807231</v>
      </c>
      <c r="AA95" s="24">
        <v>42.149285605157985</v>
      </c>
      <c r="AB95" s="24">
        <v>39.615284856193206</v>
      </c>
      <c r="AC95" s="24">
        <v>36.963242108912837</v>
      </c>
      <c r="AD95" s="24">
        <v>34.193157363316878</v>
      </c>
      <c r="AE95" s="24">
        <v>31.305030619405326</v>
      </c>
      <c r="AF95" s="24">
        <v>28.298861877178204</v>
      </c>
      <c r="AG95" s="24">
        <v>25.174651136635479</v>
      </c>
      <c r="AH95" s="24">
        <v>21.932398397777177</v>
      </c>
      <c r="AM95" s="57"/>
      <c r="AN95" s="58"/>
      <c r="AO95" s="59">
        <v>0.625</v>
      </c>
      <c r="AP95" s="60">
        <v>68.90823595885557</v>
      </c>
      <c r="AQ95" s="60">
        <v>68.77287788227467</v>
      </c>
      <c r="AR95" s="60">
        <v>68.522892245346</v>
      </c>
      <c r="AS95" s="60">
        <v>68.158279048069545</v>
      </c>
      <c r="AT95" s="60">
        <v>67.679038290445305</v>
      </c>
      <c r="AU95" s="60">
        <v>67.085169972473295</v>
      </c>
      <c r="AV95" s="60">
        <v>66.376674094153486</v>
      </c>
      <c r="AW95" s="60">
        <v>65.553550655485921</v>
      </c>
      <c r="AX95" s="60">
        <v>64.615799656470557</v>
      </c>
      <c r="AY95" s="60">
        <v>63.563421097107422</v>
      </c>
      <c r="AZ95" s="60">
        <v>62.396414977396503</v>
      </c>
      <c r="BA95" s="60">
        <v>61.1147812973378</v>
      </c>
      <c r="BB95" s="60">
        <v>59.718520056931311</v>
      </c>
      <c r="BC95" s="60">
        <v>58.207631256177052</v>
      </c>
      <c r="BD95" s="61">
        <v>56.582114895074994</v>
      </c>
      <c r="BE95" s="60">
        <v>54.841970973625202</v>
      </c>
      <c r="BF95" s="60">
        <v>52.987199491827596</v>
      </c>
      <c r="BG95" s="60">
        <v>51.017800449682213</v>
      </c>
      <c r="BH95" s="60">
        <v>48.933773847189038</v>
      </c>
      <c r="BI95" s="60">
        <v>46.735119684348085</v>
      </c>
      <c r="BJ95" s="60">
        <v>44.421837961159369</v>
      </c>
      <c r="BK95" s="60">
        <v>41.993928677622804</v>
      </c>
      <c r="BL95" s="60">
        <v>39.451391833738505</v>
      </c>
      <c r="BM95" s="60">
        <v>36.794227429506421</v>
      </c>
      <c r="BN95" s="60">
        <v>34.022435464926566</v>
      </c>
      <c r="BO95" s="60">
        <v>31.136015939998916</v>
      </c>
      <c r="BP95" s="60">
        <v>28.1349688547235</v>
      </c>
      <c r="BQ95" s="60">
        <v>25.019294209100298</v>
      </c>
      <c r="BR95" s="60">
        <v>21.788992003129316</v>
      </c>
    </row>
    <row r="96" spans="4:70" ht="17" x14ac:dyDescent="0.2">
      <c r="E96" t="s">
        <v>99</v>
      </c>
      <c r="F96" s="24">
        <v>68.90823595885557</v>
      </c>
      <c r="G96" s="24">
        <v>68.77287788227467</v>
      </c>
      <c r="H96" s="24">
        <v>68.522892245346</v>
      </c>
      <c r="I96" s="24">
        <v>68.158279048069545</v>
      </c>
      <c r="J96" s="24">
        <v>67.679038290445305</v>
      </c>
      <c r="K96" s="24">
        <v>67.085169972473295</v>
      </c>
      <c r="L96" s="24">
        <v>66.376674094153486</v>
      </c>
      <c r="M96" s="24">
        <v>65.553550655485921</v>
      </c>
      <c r="N96" s="24">
        <v>64.615799656470557</v>
      </c>
      <c r="O96" s="24">
        <v>63.563421097107422</v>
      </c>
      <c r="P96" s="24">
        <v>62.396414977396503</v>
      </c>
      <c r="Q96" s="24">
        <v>61.1147812973378</v>
      </c>
      <c r="R96" s="24">
        <v>59.718520056931311</v>
      </c>
      <c r="S96" s="24">
        <v>58.207631256177052</v>
      </c>
      <c r="T96" s="24">
        <v>56.582114895074994</v>
      </c>
      <c r="U96" s="24">
        <v>54.841970973625202</v>
      </c>
      <c r="V96" s="24">
        <v>52.987199491827596</v>
      </c>
      <c r="W96" s="24">
        <v>51.017800449682213</v>
      </c>
      <c r="X96" s="24">
        <v>48.933773847189038</v>
      </c>
      <c r="Y96" s="24">
        <v>46.735119684348085</v>
      </c>
      <c r="Z96" s="24">
        <v>44.421837961159369</v>
      </c>
      <c r="AA96" s="24">
        <v>41.993928677622804</v>
      </c>
      <c r="AB96" s="24">
        <v>39.451391833738505</v>
      </c>
      <c r="AC96" s="24">
        <v>36.794227429506421</v>
      </c>
      <c r="AD96" s="24">
        <v>34.022435464926566</v>
      </c>
      <c r="AE96" s="24">
        <v>31.136015939998916</v>
      </c>
      <c r="AF96" s="24">
        <v>28.1349688547235</v>
      </c>
      <c r="AG96" s="24">
        <v>25.019294209100298</v>
      </c>
      <c r="AH96" s="24">
        <v>21.788992003129316</v>
      </c>
      <c r="AM96" s="57"/>
      <c r="AN96" s="58"/>
      <c r="AO96" s="59">
        <v>0.6</v>
      </c>
      <c r="AP96" s="60">
        <v>69.720872195193465</v>
      </c>
      <c r="AQ96" s="60">
        <v>69.505274826369117</v>
      </c>
      <c r="AR96" s="60">
        <v>69.178464335164804</v>
      </c>
      <c r="AS96" s="60">
        <v>68.740440721580512</v>
      </c>
      <c r="AT96" s="60">
        <v>68.191203985616255</v>
      </c>
      <c r="AU96" s="60">
        <v>67.530754127272019</v>
      </c>
      <c r="AV96" s="60">
        <v>66.759091146547803</v>
      </c>
      <c r="AW96" s="60">
        <v>65.876215043443608</v>
      </c>
      <c r="AX96" s="60">
        <v>64.882125817959448</v>
      </c>
      <c r="AY96" s="60">
        <v>63.776823470095316</v>
      </c>
      <c r="AZ96" s="60">
        <v>62.560307999851197</v>
      </c>
      <c r="BA96" s="60">
        <v>61.232579407227114</v>
      </c>
      <c r="BB96" s="60">
        <v>59.793637692223044</v>
      </c>
      <c r="BC96" s="60">
        <v>58.243482854839016</v>
      </c>
      <c r="BD96" s="61">
        <v>56.582114895074994</v>
      </c>
      <c r="BE96" s="60">
        <v>54.809533812931051</v>
      </c>
      <c r="BF96" s="60">
        <v>52.925739608407085</v>
      </c>
      <c r="BG96" s="60">
        <v>50.930732281503147</v>
      </c>
      <c r="BH96" s="60">
        <v>48.824511832219237</v>
      </c>
      <c r="BI96" s="60">
        <v>46.607078260555355</v>
      </c>
      <c r="BJ96" s="60">
        <v>44.2784315665115</v>
      </c>
      <c r="BK96" s="60">
        <v>41.83857175008761</v>
      </c>
      <c r="BL96" s="60">
        <v>39.287498811283797</v>
      </c>
      <c r="BM96" s="60">
        <v>36.625212750100012</v>
      </c>
      <c r="BN96" s="60">
        <v>33.851713566536255</v>
      </c>
      <c r="BO96" s="60">
        <v>30.967001260592511</v>
      </c>
      <c r="BP96" s="60">
        <v>27.971075832268795</v>
      </c>
      <c r="BQ96" s="60">
        <v>24.863937281565118</v>
      </c>
      <c r="BR96" s="60">
        <v>21.645585608481451</v>
      </c>
    </row>
    <row r="97" spans="5:70" ht="17" x14ac:dyDescent="0.2">
      <c r="E97" t="s">
        <v>100</v>
      </c>
      <c r="F97" s="24">
        <v>69.720872195193465</v>
      </c>
      <c r="G97" s="24">
        <v>69.505274826369117</v>
      </c>
      <c r="H97" s="24">
        <v>69.178464335164804</v>
      </c>
      <c r="I97" s="24">
        <v>68.740440721580512</v>
      </c>
      <c r="J97" s="24">
        <v>68.191203985616255</v>
      </c>
      <c r="K97" s="24">
        <v>67.530754127272019</v>
      </c>
      <c r="L97" s="24">
        <v>66.759091146547803</v>
      </c>
      <c r="M97" s="24">
        <v>65.876215043443608</v>
      </c>
      <c r="N97" s="24">
        <v>64.882125817959448</v>
      </c>
      <c r="O97" s="24">
        <v>63.776823470095316</v>
      </c>
      <c r="P97" s="24">
        <v>62.560307999851197</v>
      </c>
      <c r="Q97" s="24">
        <v>61.232579407227114</v>
      </c>
      <c r="R97" s="24">
        <v>59.793637692223044</v>
      </c>
      <c r="S97" s="24">
        <v>58.243482854839016</v>
      </c>
      <c r="T97" s="24">
        <v>56.582114895074994</v>
      </c>
      <c r="U97" s="24">
        <v>54.809533812931051</v>
      </c>
      <c r="V97" s="24">
        <v>52.925739608407085</v>
      </c>
      <c r="W97" s="24">
        <v>50.930732281503147</v>
      </c>
      <c r="X97" s="24">
        <v>48.824511832219237</v>
      </c>
      <c r="Y97" s="24">
        <v>46.607078260555355</v>
      </c>
      <c r="Z97" s="24">
        <v>44.2784315665115</v>
      </c>
      <c r="AA97" s="24">
        <v>41.83857175008761</v>
      </c>
      <c r="AB97" s="24">
        <v>39.287498811283797</v>
      </c>
      <c r="AC97" s="24">
        <v>36.625212750100012</v>
      </c>
      <c r="AD97" s="24">
        <v>33.851713566536255</v>
      </c>
      <c r="AE97" s="24">
        <v>30.967001260592511</v>
      </c>
      <c r="AF97" s="24">
        <v>27.971075832268795</v>
      </c>
      <c r="AG97" s="24">
        <v>24.863937281565118</v>
      </c>
      <c r="AH97" s="24">
        <v>21.645585608481451</v>
      </c>
      <c r="AM97" s="57"/>
      <c r="AN97" s="58"/>
      <c r="AO97" s="59">
        <v>0.57499999999999996</v>
      </c>
      <c r="AP97" s="60">
        <v>70.533508431531331</v>
      </c>
      <c r="AQ97" s="60">
        <v>70.23767177046355</v>
      </c>
      <c r="AR97" s="60">
        <v>69.834036424983609</v>
      </c>
      <c r="AS97" s="60">
        <v>69.322602395091494</v>
      </c>
      <c r="AT97" s="60">
        <v>68.703369680787176</v>
      </c>
      <c r="AU97" s="60">
        <v>67.976338282070728</v>
      </c>
      <c r="AV97" s="60">
        <v>67.141508198942105</v>
      </c>
      <c r="AW97" s="60">
        <v>66.198879431401309</v>
      </c>
      <c r="AX97" s="60">
        <v>65.148451979448339</v>
      </c>
      <c r="AY97" s="60">
        <v>63.990225843083195</v>
      </c>
      <c r="AZ97" s="60">
        <v>62.724201022305898</v>
      </c>
      <c r="BA97" s="60">
        <v>61.350377517116428</v>
      </c>
      <c r="BB97" s="60">
        <v>59.868755327514791</v>
      </c>
      <c r="BC97" s="60">
        <v>58.279334453500972</v>
      </c>
      <c r="BD97" s="61">
        <v>56.582114895074994</v>
      </c>
      <c r="BE97" s="60">
        <v>54.777096652236885</v>
      </c>
      <c r="BF97" s="60">
        <v>52.864279724986574</v>
      </c>
      <c r="BG97" s="60">
        <v>50.843664113324095</v>
      </c>
      <c r="BH97" s="60">
        <v>48.715249817249443</v>
      </c>
      <c r="BI97" s="60">
        <v>46.479036836762631</v>
      </c>
      <c r="BJ97" s="60">
        <v>44.135025171863646</v>
      </c>
      <c r="BK97" s="60">
        <v>41.683214822552429</v>
      </c>
      <c r="BL97" s="60">
        <v>39.123605788829103</v>
      </c>
      <c r="BM97" s="60">
        <v>36.456198070693603</v>
      </c>
      <c r="BN97" s="60">
        <v>33.680991668145943</v>
      </c>
      <c r="BO97" s="60">
        <v>30.797986581186098</v>
      </c>
      <c r="BP97" s="60">
        <v>27.807182809814098</v>
      </c>
      <c r="BQ97" s="60">
        <v>24.70858035402993</v>
      </c>
      <c r="BR97" s="60">
        <v>21.502179213833593</v>
      </c>
    </row>
    <row r="98" spans="5:70" ht="17" x14ac:dyDescent="0.2">
      <c r="E98" t="s">
        <v>101</v>
      </c>
      <c r="F98" s="24">
        <v>70.533508431531331</v>
      </c>
      <c r="G98" s="24">
        <v>70.23767177046355</v>
      </c>
      <c r="H98" s="24">
        <v>69.834036424983609</v>
      </c>
      <c r="I98" s="24">
        <v>69.322602395091494</v>
      </c>
      <c r="J98" s="24">
        <v>68.703369680787176</v>
      </c>
      <c r="K98" s="24">
        <v>67.976338282070728</v>
      </c>
      <c r="L98" s="24">
        <v>67.141508198942105</v>
      </c>
      <c r="M98" s="24">
        <v>66.198879431401309</v>
      </c>
      <c r="N98" s="24">
        <v>65.148451979448339</v>
      </c>
      <c r="O98" s="24">
        <v>63.990225843083195</v>
      </c>
      <c r="P98" s="24">
        <v>62.724201022305898</v>
      </c>
      <c r="Q98" s="24">
        <v>61.350377517116428</v>
      </c>
      <c r="R98" s="24">
        <v>59.868755327514791</v>
      </c>
      <c r="S98" s="24">
        <v>58.279334453500972</v>
      </c>
      <c r="T98" s="24">
        <v>56.582114895074994</v>
      </c>
      <c r="U98" s="24">
        <v>54.777096652236885</v>
      </c>
      <c r="V98" s="24">
        <v>52.864279724986574</v>
      </c>
      <c r="W98" s="24">
        <v>50.843664113324095</v>
      </c>
      <c r="X98" s="24">
        <v>48.715249817249443</v>
      </c>
      <c r="Y98" s="24">
        <v>46.479036836762631</v>
      </c>
      <c r="Z98" s="24">
        <v>44.135025171863646</v>
      </c>
      <c r="AA98" s="24">
        <v>41.683214822552429</v>
      </c>
      <c r="AB98" s="24">
        <v>39.123605788829103</v>
      </c>
      <c r="AC98" s="24">
        <v>36.456198070693603</v>
      </c>
      <c r="AD98" s="24">
        <v>33.680991668145943</v>
      </c>
      <c r="AE98" s="24">
        <v>30.797986581186098</v>
      </c>
      <c r="AF98" s="24">
        <v>27.807182809814098</v>
      </c>
      <c r="AG98" s="24">
        <v>24.70858035402993</v>
      </c>
      <c r="AH98" s="24">
        <v>21.502179213833593</v>
      </c>
      <c r="AM98" s="57"/>
      <c r="AN98" s="58"/>
      <c r="AO98" s="59">
        <v>0.55000000000000004</v>
      </c>
      <c r="AP98" s="60">
        <v>71.346144667869225</v>
      </c>
      <c r="AQ98" s="60">
        <v>70.970068714557982</v>
      </c>
      <c r="AR98" s="60">
        <v>70.489608514802399</v>
      </c>
      <c r="AS98" s="60">
        <v>69.904764068602447</v>
      </c>
      <c r="AT98" s="60">
        <v>69.215535375958126</v>
      </c>
      <c r="AU98" s="60">
        <v>68.421922436869437</v>
      </c>
      <c r="AV98" s="60">
        <v>67.523925251336394</v>
      </c>
      <c r="AW98" s="60">
        <v>66.521543819358996</v>
      </c>
      <c r="AX98" s="60">
        <v>65.414778140937216</v>
      </c>
      <c r="AY98" s="60">
        <v>64.203628216071095</v>
      </c>
      <c r="AZ98" s="60">
        <v>62.888094044760606</v>
      </c>
      <c r="BA98" s="60">
        <v>61.468175627005749</v>
      </c>
      <c r="BB98" s="60">
        <v>59.943872962806523</v>
      </c>
      <c r="BC98" s="60">
        <v>58.31518605216295</v>
      </c>
      <c r="BD98" s="61">
        <v>56.582114895074994</v>
      </c>
      <c r="BE98" s="60">
        <v>54.74465949154272</v>
      </c>
      <c r="BF98" s="60">
        <v>52.80281984156607</v>
      </c>
      <c r="BG98" s="60">
        <v>50.756595945145037</v>
      </c>
      <c r="BH98" s="60">
        <v>48.605987802279643</v>
      </c>
      <c r="BI98" s="60">
        <v>46.350995412969894</v>
      </c>
      <c r="BJ98" s="60">
        <v>43.991618777215777</v>
      </c>
      <c r="BK98" s="60">
        <v>41.527857895017249</v>
      </c>
      <c r="BL98" s="60">
        <v>38.959712766374402</v>
      </c>
      <c r="BM98" s="60">
        <v>36.287183391287194</v>
      </c>
      <c r="BN98" s="60">
        <v>33.510269769755631</v>
      </c>
      <c r="BO98" s="60">
        <v>30.628971901779689</v>
      </c>
      <c r="BP98" s="60">
        <v>27.643289787359404</v>
      </c>
      <c r="BQ98" s="60">
        <v>24.553223426494746</v>
      </c>
      <c r="BR98" s="60">
        <v>21.358772819185734</v>
      </c>
    </row>
    <row r="99" spans="5:70" ht="18" thickBot="1" x14ac:dyDescent="0.25">
      <c r="E99" t="s">
        <v>102</v>
      </c>
      <c r="F99" s="24">
        <v>71.346144667869225</v>
      </c>
      <c r="G99" s="24">
        <v>70.970068714557982</v>
      </c>
      <c r="H99" s="24">
        <v>70.489608514802399</v>
      </c>
      <c r="I99" s="24">
        <v>69.904764068602447</v>
      </c>
      <c r="J99" s="24">
        <v>69.215535375958126</v>
      </c>
      <c r="K99" s="24">
        <v>68.421922436869437</v>
      </c>
      <c r="L99" s="24">
        <v>67.523925251336394</v>
      </c>
      <c r="M99" s="24">
        <v>66.521543819358996</v>
      </c>
      <c r="N99" s="24">
        <v>65.414778140937216</v>
      </c>
      <c r="O99" s="24">
        <v>64.203628216071095</v>
      </c>
      <c r="P99" s="24">
        <v>62.888094044760606</v>
      </c>
      <c r="Q99" s="24">
        <v>61.468175627005749</v>
      </c>
      <c r="R99" s="24">
        <v>59.943872962806523</v>
      </c>
      <c r="S99" s="24">
        <v>58.31518605216295</v>
      </c>
      <c r="T99" s="24">
        <v>56.582114895074994</v>
      </c>
      <c r="U99" s="24">
        <v>54.74465949154272</v>
      </c>
      <c r="V99" s="24">
        <v>52.80281984156607</v>
      </c>
      <c r="W99" s="24">
        <v>50.756595945145037</v>
      </c>
      <c r="X99" s="24">
        <v>48.605987802279643</v>
      </c>
      <c r="Y99" s="24">
        <v>46.350995412969894</v>
      </c>
      <c r="Z99" s="24">
        <v>43.991618777215777</v>
      </c>
      <c r="AA99" s="24">
        <v>41.527857895017249</v>
      </c>
      <c r="AB99" s="24">
        <v>38.959712766374402</v>
      </c>
      <c r="AC99" s="24">
        <v>36.287183391287194</v>
      </c>
      <c r="AD99" s="24">
        <v>33.510269769755631</v>
      </c>
      <c r="AE99" s="24">
        <v>30.628971901779689</v>
      </c>
      <c r="AF99" s="24">
        <v>27.643289787359404</v>
      </c>
      <c r="AG99" s="24">
        <v>24.553223426494746</v>
      </c>
      <c r="AH99" s="24">
        <v>21.358772819185734</v>
      </c>
      <c r="AM99" s="57"/>
      <c r="AN99" s="58"/>
      <c r="AO99" s="62">
        <v>0.52500000000000002</v>
      </c>
      <c r="AP99" s="63">
        <v>72.15878090420712</v>
      </c>
      <c r="AQ99" s="63">
        <v>71.702465658652429</v>
      </c>
      <c r="AR99" s="63">
        <v>71.145180604621203</v>
      </c>
      <c r="AS99" s="63">
        <v>70.486925742113414</v>
      </c>
      <c r="AT99" s="63">
        <v>69.727701071129061</v>
      </c>
      <c r="AU99" s="63">
        <v>68.867506591668146</v>
      </c>
      <c r="AV99" s="63">
        <v>67.906342303730696</v>
      </c>
      <c r="AW99" s="63">
        <v>66.844208207316683</v>
      </c>
      <c r="AX99" s="63">
        <v>65.681104302426107</v>
      </c>
      <c r="AY99" s="63">
        <v>64.417030589058982</v>
      </c>
      <c r="AZ99" s="63">
        <v>63.051987067215293</v>
      </c>
      <c r="BA99" s="63">
        <v>61.585973736895056</v>
      </c>
      <c r="BB99" s="63">
        <v>60.018990598098263</v>
      </c>
      <c r="BC99" s="63">
        <v>58.351037650824914</v>
      </c>
      <c r="BD99" s="64">
        <v>56.582114895074994</v>
      </c>
      <c r="BE99" s="60">
        <v>54.712222330848569</v>
      </c>
      <c r="BF99" s="60">
        <v>52.741359958145544</v>
      </c>
      <c r="BG99" s="60">
        <v>50.669527776965971</v>
      </c>
      <c r="BH99" s="60">
        <v>48.496725787309849</v>
      </c>
      <c r="BI99" s="60">
        <v>46.222953989177157</v>
      </c>
      <c r="BJ99" s="60">
        <v>43.848212382567922</v>
      </c>
      <c r="BK99" s="60">
        <v>41.372500967482061</v>
      </c>
      <c r="BL99" s="60">
        <v>38.795819743919708</v>
      </c>
      <c r="BM99" s="60">
        <v>36.118168711880791</v>
      </c>
      <c r="BN99" s="60">
        <v>33.339547871365319</v>
      </c>
      <c r="BO99" s="60">
        <v>30.459957222373276</v>
      </c>
      <c r="BP99" s="60">
        <v>27.479396764904699</v>
      </c>
      <c r="BQ99" s="60">
        <v>24.397866498959559</v>
      </c>
      <c r="BR99" s="60">
        <v>21.215366424537866</v>
      </c>
    </row>
    <row r="100" spans="5:70" ht="18" thickBot="1" x14ac:dyDescent="0.25">
      <c r="E100" t="s">
        <v>103</v>
      </c>
      <c r="F100" s="24">
        <v>72.15878090420712</v>
      </c>
      <c r="G100" s="24">
        <v>71.702465658652429</v>
      </c>
      <c r="H100" s="24">
        <v>71.145180604621203</v>
      </c>
      <c r="I100" s="24">
        <v>70.486925742113414</v>
      </c>
      <c r="J100" s="24">
        <v>69.727701071129061</v>
      </c>
      <c r="K100" s="24">
        <v>68.867506591668146</v>
      </c>
      <c r="L100" s="24">
        <v>67.906342303730696</v>
      </c>
      <c r="M100" s="24">
        <v>66.844208207316683</v>
      </c>
      <c r="N100" s="24">
        <v>65.681104302426107</v>
      </c>
      <c r="O100" s="24">
        <v>64.417030589058982</v>
      </c>
      <c r="P100" s="24">
        <v>63.051987067215293</v>
      </c>
      <c r="Q100" s="24">
        <v>61.585973736895056</v>
      </c>
      <c r="R100" s="24">
        <v>60.018990598098263</v>
      </c>
      <c r="S100" s="24">
        <v>58.351037650824914</v>
      </c>
      <c r="T100" s="24">
        <v>56.582114895074994</v>
      </c>
      <c r="U100" s="24">
        <v>54.712222330848569</v>
      </c>
      <c r="V100" s="24">
        <v>52.741359958145544</v>
      </c>
      <c r="W100" s="24">
        <v>50.669527776965971</v>
      </c>
      <c r="X100" s="24">
        <v>48.496725787309849</v>
      </c>
      <c r="Y100" s="24">
        <v>46.222953989177157</v>
      </c>
      <c r="Z100" s="24">
        <v>43.848212382567922</v>
      </c>
      <c r="AA100" s="24">
        <v>41.372500967482061</v>
      </c>
      <c r="AB100" s="24">
        <v>38.795819743919708</v>
      </c>
      <c r="AC100" s="24">
        <v>36.118168711880791</v>
      </c>
      <c r="AD100" s="24">
        <v>33.339547871365319</v>
      </c>
      <c r="AE100" s="24">
        <v>30.459957222373276</v>
      </c>
      <c r="AF100" s="24">
        <v>27.479396764904699</v>
      </c>
      <c r="AG100" s="24">
        <v>24.397866498959559</v>
      </c>
      <c r="AH100" s="24">
        <v>21.215366424537866</v>
      </c>
      <c r="AM100" s="57"/>
      <c r="AN100" s="58"/>
      <c r="AO100" s="62">
        <v>0.5</v>
      </c>
      <c r="AP100" s="63">
        <v>72.971417140545</v>
      </c>
      <c r="AQ100" s="63">
        <v>72.434862602746875</v>
      </c>
      <c r="AR100" s="63">
        <v>71.800752694440007</v>
      </c>
      <c r="AS100" s="63">
        <v>71.069087415624367</v>
      </c>
      <c r="AT100" s="63">
        <v>70.239866766299997</v>
      </c>
      <c r="AU100" s="63">
        <v>69.31309074646687</v>
      </c>
      <c r="AV100" s="63">
        <v>68.288759356124999</v>
      </c>
      <c r="AW100" s="63">
        <v>67.16687259527437</v>
      </c>
      <c r="AX100" s="63">
        <v>65.947430463914998</v>
      </c>
      <c r="AY100" s="63">
        <v>64.630432962046868</v>
      </c>
      <c r="AZ100" s="63">
        <v>63.215880089670001</v>
      </c>
      <c r="BA100" s="63">
        <v>61.703771846784377</v>
      </c>
      <c r="BB100" s="63">
        <v>60.094108233390003</v>
      </c>
      <c r="BC100" s="63">
        <v>58.386889249486885</v>
      </c>
      <c r="BD100" s="65">
        <v>56.582114895074994</v>
      </c>
      <c r="BE100" s="60">
        <v>54.67978517015441</v>
      </c>
      <c r="BF100" s="60">
        <v>52.67990007472504</v>
      </c>
      <c r="BG100" s="60">
        <v>50.58245960878692</v>
      </c>
      <c r="BH100" s="60">
        <v>48.387463772340041</v>
      </c>
      <c r="BI100" s="60">
        <v>46.094912565384419</v>
      </c>
      <c r="BJ100" s="60">
        <v>43.704805987920054</v>
      </c>
      <c r="BK100" s="60">
        <v>41.217144039946881</v>
      </c>
      <c r="BL100" s="60">
        <v>38.631926721465007</v>
      </c>
      <c r="BM100" s="60">
        <v>35.949154032474375</v>
      </c>
      <c r="BN100" s="60">
        <v>33.168825972975</v>
      </c>
      <c r="BO100" s="60">
        <v>30.290942542966874</v>
      </c>
      <c r="BP100" s="60">
        <v>27.315503742449998</v>
      </c>
      <c r="BQ100" s="60">
        <v>24.242509571424375</v>
      </c>
      <c r="BR100" s="60">
        <v>21.071960029890004</v>
      </c>
    </row>
    <row r="101" spans="5:70" ht="17" x14ac:dyDescent="0.2">
      <c r="E101" s="23" t="s">
        <v>104</v>
      </c>
      <c r="F101" s="24">
        <v>72.971417140545</v>
      </c>
      <c r="G101" s="24">
        <v>72.434862602746875</v>
      </c>
      <c r="H101" s="24">
        <v>71.800752694440007</v>
      </c>
      <c r="I101" s="24">
        <v>71.069087415624367</v>
      </c>
      <c r="J101" s="24">
        <v>70.239866766299997</v>
      </c>
      <c r="K101" s="24">
        <v>69.31309074646687</v>
      </c>
      <c r="L101" s="24">
        <v>68.288759356124999</v>
      </c>
      <c r="M101" s="24">
        <v>67.16687259527437</v>
      </c>
      <c r="N101" s="24">
        <v>65.947430463914998</v>
      </c>
      <c r="O101" s="24">
        <v>64.630432962046868</v>
      </c>
      <c r="P101" s="24">
        <v>63.215880089670001</v>
      </c>
      <c r="Q101" s="24">
        <v>61.703771846784377</v>
      </c>
      <c r="R101" s="24">
        <v>60.094108233390003</v>
      </c>
      <c r="S101" s="24">
        <v>58.386889249486885</v>
      </c>
      <c r="T101" s="24">
        <v>56.582114895074994</v>
      </c>
      <c r="U101" s="24">
        <v>54.67978517015441</v>
      </c>
      <c r="V101" s="24">
        <v>52.67990007472504</v>
      </c>
      <c r="W101" s="24">
        <v>50.58245960878692</v>
      </c>
      <c r="X101" s="24">
        <v>48.387463772340041</v>
      </c>
      <c r="Y101" s="24">
        <v>46.094912565384419</v>
      </c>
      <c r="Z101" s="24">
        <v>43.704805987920054</v>
      </c>
      <c r="AA101" s="24">
        <v>41.217144039946881</v>
      </c>
      <c r="AB101" s="24">
        <v>38.631926721465007</v>
      </c>
      <c r="AC101" s="24">
        <v>35.949154032474375</v>
      </c>
      <c r="AD101" s="24">
        <v>33.168825972975</v>
      </c>
      <c r="AE101" s="24">
        <v>30.290942542966874</v>
      </c>
      <c r="AF101" s="24">
        <v>27.315503742449998</v>
      </c>
      <c r="AG101" s="24">
        <v>24.242509571424375</v>
      </c>
      <c r="AH101" s="24">
        <v>21.071960029890004</v>
      </c>
      <c r="AM101" s="57"/>
      <c r="AN101" s="58"/>
      <c r="AO101" s="59">
        <v>0.47500000000000048</v>
      </c>
      <c r="AP101" s="60">
        <v>73.784053376882881</v>
      </c>
      <c r="AQ101" s="60">
        <v>73.167259546841294</v>
      </c>
      <c r="AR101" s="60">
        <v>72.456324784258797</v>
      </c>
      <c r="AS101" s="60">
        <v>71.651249089135334</v>
      </c>
      <c r="AT101" s="60">
        <v>70.752032461470932</v>
      </c>
      <c r="AU101" s="60">
        <v>69.758674901265579</v>
      </c>
      <c r="AV101" s="60">
        <v>68.671176408519287</v>
      </c>
      <c r="AW101" s="60">
        <v>67.489536983232057</v>
      </c>
      <c r="AX101" s="60">
        <v>66.213756625403875</v>
      </c>
      <c r="AY101" s="60">
        <v>64.843835335034768</v>
      </c>
      <c r="AZ101" s="60">
        <v>63.379773112124695</v>
      </c>
      <c r="BA101" s="60">
        <v>61.821569956673692</v>
      </c>
      <c r="BB101" s="60">
        <v>60.169225868681735</v>
      </c>
      <c r="BC101" s="60">
        <v>58.422740848148841</v>
      </c>
      <c r="BD101" s="60">
        <v>56.582114895074994</v>
      </c>
      <c r="BE101" s="60">
        <v>54.647348009460245</v>
      </c>
      <c r="BF101" s="60">
        <v>52.618440191304522</v>
      </c>
      <c r="BG101" s="60">
        <v>50.495391440607854</v>
      </c>
      <c r="BH101" s="60">
        <v>48.278201757370255</v>
      </c>
      <c r="BI101" s="60">
        <v>45.966871141591696</v>
      </c>
      <c r="BJ101" s="60">
        <v>43.561399593272192</v>
      </c>
      <c r="BK101" s="60">
        <v>41.061787112411693</v>
      </c>
      <c r="BL101" s="60">
        <v>38.468033699010306</v>
      </c>
      <c r="BM101" s="60">
        <v>35.780139353067973</v>
      </c>
      <c r="BN101" s="60">
        <v>32.998104074584695</v>
      </c>
      <c r="BO101" s="60">
        <v>30.121927863560465</v>
      </c>
      <c r="BP101" s="60">
        <v>27.151610719995304</v>
      </c>
      <c r="BQ101" s="60">
        <v>24.087152643889191</v>
      </c>
      <c r="BR101" s="60">
        <v>20.928553635242142</v>
      </c>
    </row>
    <row r="102" spans="5:70" ht="17" x14ac:dyDescent="0.2">
      <c r="E102" t="s">
        <v>105</v>
      </c>
      <c r="F102" s="24">
        <v>73.784053376882881</v>
      </c>
      <c r="G102" s="24">
        <v>73.167259546841294</v>
      </c>
      <c r="H102" s="24">
        <v>72.456324784258797</v>
      </c>
      <c r="I102" s="24">
        <v>71.651249089135334</v>
      </c>
      <c r="J102" s="24">
        <v>70.752032461470932</v>
      </c>
      <c r="K102" s="24">
        <v>69.758674901265579</v>
      </c>
      <c r="L102" s="24">
        <v>68.671176408519287</v>
      </c>
      <c r="M102" s="24">
        <v>67.489536983232057</v>
      </c>
      <c r="N102" s="24">
        <v>66.213756625403875</v>
      </c>
      <c r="O102" s="24">
        <v>64.843835335034768</v>
      </c>
      <c r="P102" s="24">
        <v>63.379773112124695</v>
      </c>
      <c r="Q102" s="24">
        <v>61.821569956673692</v>
      </c>
      <c r="R102" s="24">
        <v>60.169225868681735</v>
      </c>
      <c r="S102" s="24">
        <v>58.422740848148841</v>
      </c>
      <c r="T102" s="24">
        <v>56.582114895074994</v>
      </c>
      <c r="U102" s="24">
        <v>54.647348009460245</v>
      </c>
      <c r="V102" s="24">
        <v>52.618440191304522</v>
      </c>
      <c r="W102" s="24">
        <v>50.495391440607854</v>
      </c>
      <c r="X102" s="24">
        <v>48.278201757370255</v>
      </c>
      <c r="Y102" s="24">
        <v>45.966871141591696</v>
      </c>
      <c r="Z102" s="24">
        <v>43.561399593272192</v>
      </c>
      <c r="AA102" s="24">
        <v>41.061787112411693</v>
      </c>
      <c r="AB102" s="24">
        <v>38.468033699010306</v>
      </c>
      <c r="AC102" s="24">
        <v>35.780139353067973</v>
      </c>
      <c r="AD102" s="24">
        <v>32.998104074584695</v>
      </c>
      <c r="AE102" s="24">
        <v>30.121927863560465</v>
      </c>
      <c r="AF102" s="24">
        <v>27.151610719995304</v>
      </c>
      <c r="AG102" s="24">
        <v>24.087152643889191</v>
      </c>
      <c r="AH102" s="24">
        <v>20.928553635242142</v>
      </c>
      <c r="AM102" s="57"/>
      <c r="AN102" s="58"/>
      <c r="AO102" s="59">
        <v>0.45000000000000046</v>
      </c>
      <c r="AP102" s="60">
        <v>74.596689613220775</v>
      </c>
      <c r="AQ102" s="60">
        <v>73.89965649093574</v>
      </c>
      <c r="AR102" s="60">
        <v>73.111896874077587</v>
      </c>
      <c r="AS102" s="60">
        <v>72.233410762646301</v>
      </c>
      <c r="AT102" s="60">
        <v>71.264198156641868</v>
      </c>
      <c r="AU102" s="60">
        <v>70.204259056064302</v>
      </c>
      <c r="AV102" s="60">
        <v>69.053593460913589</v>
      </c>
      <c r="AW102" s="60">
        <v>67.812201371189744</v>
      </c>
      <c r="AX102" s="60">
        <v>66.480082786892766</v>
      </c>
      <c r="AY102" s="60">
        <v>65.057237708022654</v>
      </c>
      <c r="AZ102" s="60">
        <v>63.543666134579396</v>
      </c>
      <c r="BA102" s="60">
        <v>61.939368066562992</v>
      </c>
      <c r="BB102" s="60">
        <v>60.244343503973475</v>
      </c>
      <c r="BC102" s="60">
        <v>58.458592446810812</v>
      </c>
      <c r="BD102" s="60">
        <v>56.582114895074994</v>
      </c>
      <c r="BE102" s="60">
        <v>54.614910848766101</v>
      </c>
      <c r="BF102" s="60">
        <v>52.556980307884018</v>
      </c>
      <c r="BG102" s="60">
        <v>50.408323272428802</v>
      </c>
      <c r="BH102" s="60">
        <v>48.16893974240044</v>
      </c>
      <c r="BI102" s="60">
        <v>45.838829717798944</v>
      </c>
      <c r="BJ102" s="60">
        <v>43.41799319862433</v>
      </c>
      <c r="BK102" s="60">
        <v>40.906430184876506</v>
      </c>
      <c r="BL102" s="60">
        <v>38.304140676555605</v>
      </c>
      <c r="BM102" s="60">
        <v>35.611124673661564</v>
      </c>
      <c r="BN102" s="60">
        <v>32.827382176194384</v>
      </c>
      <c r="BO102" s="60">
        <v>29.95291318415406</v>
      </c>
      <c r="BP102" s="60">
        <v>26.987717697540603</v>
      </c>
      <c r="BQ102" s="60">
        <v>23.931795716354006</v>
      </c>
      <c r="BR102" s="60">
        <v>20.785147240594281</v>
      </c>
    </row>
    <row r="103" spans="5:70" ht="17" x14ac:dyDescent="0.2">
      <c r="E103" t="s">
        <v>106</v>
      </c>
      <c r="F103" s="24">
        <v>74.596689613220775</v>
      </c>
      <c r="G103" s="24">
        <v>73.89965649093574</v>
      </c>
      <c r="H103" s="24">
        <v>73.111896874077587</v>
      </c>
      <c r="I103" s="24">
        <v>72.233410762646301</v>
      </c>
      <c r="J103" s="24">
        <v>71.264198156641868</v>
      </c>
      <c r="K103" s="24">
        <v>70.204259056064302</v>
      </c>
      <c r="L103" s="24">
        <v>69.053593460913589</v>
      </c>
      <c r="M103" s="24">
        <v>67.812201371189744</v>
      </c>
      <c r="N103" s="24">
        <v>66.480082786892766</v>
      </c>
      <c r="O103" s="24">
        <v>65.057237708022654</v>
      </c>
      <c r="P103" s="24">
        <v>63.543666134579396</v>
      </c>
      <c r="Q103" s="24">
        <v>61.939368066562992</v>
      </c>
      <c r="R103" s="24">
        <v>60.244343503973475</v>
      </c>
      <c r="S103" s="24">
        <v>58.458592446810812</v>
      </c>
      <c r="T103" s="24">
        <v>56.582114895074994</v>
      </c>
      <c r="U103" s="24">
        <v>54.614910848766101</v>
      </c>
      <c r="V103" s="24">
        <v>52.556980307884018</v>
      </c>
      <c r="W103" s="24">
        <v>50.408323272428802</v>
      </c>
      <c r="X103" s="24">
        <v>48.16893974240044</v>
      </c>
      <c r="Y103" s="24">
        <v>45.838829717798944</v>
      </c>
      <c r="Z103" s="24">
        <v>43.41799319862433</v>
      </c>
      <c r="AA103" s="24">
        <v>40.906430184876506</v>
      </c>
      <c r="AB103" s="24">
        <v>38.304140676555605</v>
      </c>
      <c r="AC103" s="24">
        <v>35.611124673661564</v>
      </c>
      <c r="AD103" s="24">
        <v>32.827382176194384</v>
      </c>
      <c r="AE103" s="24">
        <v>29.95291318415406</v>
      </c>
      <c r="AF103" s="24">
        <v>26.987717697540603</v>
      </c>
      <c r="AG103" s="24">
        <v>23.931795716354006</v>
      </c>
      <c r="AH103" s="24">
        <v>20.785147240594281</v>
      </c>
      <c r="AM103" s="57"/>
      <c r="AN103" s="58"/>
      <c r="AO103" s="59">
        <v>0.42500000000000049</v>
      </c>
      <c r="AP103" s="60">
        <v>75.409325849558655</v>
      </c>
      <c r="AQ103" s="60">
        <v>74.632053435030187</v>
      </c>
      <c r="AR103" s="60">
        <v>73.767468963896391</v>
      </c>
      <c r="AS103" s="60">
        <v>72.815572436157268</v>
      </c>
      <c r="AT103" s="60">
        <v>71.776363851812818</v>
      </c>
      <c r="AU103" s="60">
        <v>70.649843210863025</v>
      </c>
      <c r="AV103" s="60">
        <v>69.436010513307892</v>
      </c>
      <c r="AW103" s="60">
        <v>68.134865759147445</v>
      </c>
      <c r="AX103" s="60">
        <v>66.746408948381657</v>
      </c>
      <c r="AY103" s="60">
        <v>65.270640081010527</v>
      </c>
      <c r="AZ103" s="60">
        <v>63.707559157034098</v>
      </c>
      <c r="BA103" s="60">
        <v>62.05716617645232</v>
      </c>
      <c r="BB103" s="60">
        <v>60.319461139265215</v>
      </c>
      <c r="BC103" s="60">
        <v>58.494444045472775</v>
      </c>
      <c r="BD103" s="60">
        <v>56.582114895074994</v>
      </c>
      <c r="BE103" s="60">
        <v>54.582473688071936</v>
      </c>
      <c r="BF103" s="60">
        <v>52.495520424463493</v>
      </c>
      <c r="BG103" s="60">
        <v>50.321255104249744</v>
      </c>
      <c r="BH103" s="60">
        <v>48.059677727430646</v>
      </c>
      <c r="BI103" s="60">
        <v>45.710788294006221</v>
      </c>
      <c r="BJ103" s="60">
        <v>43.274586803976476</v>
      </c>
      <c r="BK103" s="60">
        <v>40.751073257341325</v>
      </c>
      <c r="BL103" s="60">
        <v>38.140247654100904</v>
      </c>
      <c r="BM103" s="60">
        <v>35.442109994255148</v>
      </c>
      <c r="BN103" s="60">
        <v>32.656660277804072</v>
      </c>
      <c r="BO103" s="60">
        <v>29.783898504747647</v>
      </c>
      <c r="BP103" s="60">
        <v>26.823824675085909</v>
      </c>
      <c r="BQ103" s="60">
        <v>23.77643878881883</v>
      </c>
      <c r="BR103" s="60">
        <v>20.641740845946423</v>
      </c>
    </row>
    <row r="104" spans="5:70" ht="17" x14ac:dyDescent="0.2">
      <c r="E104" t="s">
        <v>107</v>
      </c>
      <c r="F104" s="24">
        <v>75.409325849558655</v>
      </c>
      <c r="G104" s="24">
        <v>74.632053435030187</v>
      </c>
      <c r="H104" s="24">
        <v>73.767468963896391</v>
      </c>
      <c r="I104" s="24">
        <v>72.815572436157268</v>
      </c>
      <c r="J104" s="24">
        <v>71.776363851812818</v>
      </c>
      <c r="K104" s="24">
        <v>70.649843210863025</v>
      </c>
      <c r="L104" s="24">
        <v>69.436010513307892</v>
      </c>
      <c r="M104" s="24">
        <v>68.134865759147445</v>
      </c>
      <c r="N104" s="24">
        <v>66.746408948381657</v>
      </c>
      <c r="O104" s="24">
        <v>65.270640081010527</v>
      </c>
      <c r="P104" s="24">
        <v>63.707559157034098</v>
      </c>
      <c r="Q104" s="24">
        <v>62.05716617645232</v>
      </c>
      <c r="R104" s="24">
        <v>60.319461139265215</v>
      </c>
      <c r="S104" s="24">
        <v>58.494444045472775</v>
      </c>
      <c r="T104" s="24">
        <v>56.582114895074994</v>
      </c>
      <c r="U104" s="24">
        <v>54.582473688071936</v>
      </c>
      <c r="V104" s="24">
        <v>52.495520424463493</v>
      </c>
      <c r="W104" s="24">
        <v>50.321255104249744</v>
      </c>
      <c r="X104" s="24">
        <v>48.059677727430646</v>
      </c>
      <c r="Y104" s="24">
        <v>45.710788294006221</v>
      </c>
      <c r="Z104" s="24">
        <v>43.274586803976476</v>
      </c>
      <c r="AA104" s="24">
        <v>40.751073257341325</v>
      </c>
      <c r="AB104" s="24">
        <v>38.140247654100904</v>
      </c>
      <c r="AC104" s="24">
        <v>35.442109994255148</v>
      </c>
      <c r="AD104" s="24">
        <v>32.656660277804072</v>
      </c>
      <c r="AE104" s="24">
        <v>29.783898504747647</v>
      </c>
      <c r="AF104" s="24">
        <v>26.823824675085909</v>
      </c>
      <c r="AG104" s="24">
        <v>23.77643878881883</v>
      </c>
      <c r="AH104" s="24">
        <v>20.641740845946423</v>
      </c>
      <c r="AM104" s="57"/>
      <c r="AN104" s="58"/>
      <c r="AO104" s="59">
        <v>0.40000000000000047</v>
      </c>
      <c r="AP104" s="60">
        <v>76.221962085896536</v>
      </c>
      <c r="AQ104" s="60">
        <v>75.364450379124619</v>
      </c>
      <c r="AR104" s="60">
        <v>74.423041053715195</v>
      </c>
      <c r="AS104" s="60">
        <v>73.397734109668235</v>
      </c>
      <c r="AT104" s="60">
        <v>72.288529546983753</v>
      </c>
      <c r="AU104" s="60">
        <v>71.095427365661735</v>
      </c>
      <c r="AV104" s="60">
        <v>69.818427565702194</v>
      </c>
      <c r="AW104" s="60">
        <v>68.457530147105132</v>
      </c>
      <c r="AX104" s="60">
        <v>67.012735109870533</v>
      </c>
      <c r="AY104" s="60">
        <v>65.484042453998427</v>
      </c>
      <c r="AZ104" s="60">
        <v>63.871452179488799</v>
      </c>
      <c r="BA104" s="60">
        <v>62.174964286341634</v>
      </c>
      <c r="BB104" s="60">
        <v>60.394578774556948</v>
      </c>
      <c r="BC104" s="60">
        <v>58.530295644134739</v>
      </c>
      <c r="BD104" s="60">
        <v>56.582114895074994</v>
      </c>
      <c r="BE104" s="60">
        <v>54.55003652737777</v>
      </c>
      <c r="BF104" s="60">
        <v>52.434060541042989</v>
      </c>
      <c r="BG104" s="60">
        <v>50.234186936070678</v>
      </c>
      <c r="BH104" s="60">
        <v>47.950415712460838</v>
      </c>
      <c r="BI104" s="60">
        <v>45.582746870213484</v>
      </c>
      <c r="BJ104" s="60">
        <v>43.131180409328607</v>
      </c>
      <c r="BK104" s="60">
        <v>40.595716329806152</v>
      </c>
      <c r="BL104" s="60">
        <v>37.97635463164621</v>
      </c>
      <c r="BM104" s="60">
        <v>35.273095314848746</v>
      </c>
      <c r="BN104" s="60">
        <v>32.485938379413753</v>
      </c>
      <c r="BO104" s="60">
        <v>29.614883825341238</v>
      </c>
      <c r="BP104" s="60">
        <v>26.659931652631204</v>
      </c>
      <c r="BQ104" s="60">
        <v>23.621081861283638</v>
      </c>
      <c r="BR104" s="60">
        <v>20.498334451298554</v>
      </c>
    </row>
    <row r="105" spans="5:70" ht="17" x14ac:dyDescent="0.2">
      <c r="E105" t="s">
        <v>108</v>
      </c>
      <c r="F105" s="24">
        <v>76.221962085896536</v>
      </c>
      <c r="G105" s="24">
        <v>75.364450379124619</v>
      </c>
      <c r="H105" s="24">
        <v>74.423041053715195</v>
      </c>
      <c r="I105" s="24">
        <v>73.397734109668235</v>
      </c>
      <c r="J105" s="24">
        <v>72.288529546983753</v>
      </c>
      <c r="K105" s="24">
        <v>71.095427365661735</v>
      </c>
      <c r="L105" s="24">
        <v>69.818427565702194</v>
      </c>
      <c r="M105" s="24">
        <v>68.457530147105132</v>
      </c>
      <c r="N105" s="24">
        <v>67.012735109870533</v>
      </c>
      <c r="O105" s="24">
        <v>65.484042453998427</v>
      </c>
      <c r="P105" s="24">
        <v>63.871452179488799</v>
      </c>
      <c r="Q105" s="24">
        <v>62.174964286341634</v>
      </c>
      <c r="R105" s="24">
        <v>60.394578774556948</v>
      </c>
      <c r="S105" s="24">
        <v>58.530295644134739</v>
      </c>
      <c r="T105" s="24">
        <v>56.582114895074994</v>
      </c>
      <c r="U105" s="24">
        <v>54.55003652737777</v>
      </c>
      <c r="V105" s="24">
        <v>52.434060541042989</v>
      </c>
      <c r="W105" s="24">
        <v>50.234186936070678</v>
      </c>
      <c r="X105" s="24">
        <v>47.950415712460838</v>
      </c>
      <c r="Y105" s="24">
        <v>45.582746870213484</v>
      </c>
      <c r="Z105" s="24">
        <v>43.131180409328607</v>
      </c>
      <c r="AA105" s="24">
        <v>40.595716329806152</v>
      </c>
      <c r="AB105" s="24">
        <v>37.97635463164621</v>
      </c>
      <c r="AC105" s="24">
        <v>35.273095314848746</v>
      </c>
      <c r="AD105" s="24">
        <v>32.485938379413753</v>
      </c>
      <c r="AE105" s="24">
        <v>29.614883825341238</v>
      </c>
      <c r="AF105" s="24">
        <v>26.659931652631204</v>
      </c>
      <c r="AG105" s="24">
        <v>23.621081861283638</v>
      </c>
      <c r="AH105" s="24">
        <v>20.498334451298554</v>
      </c>
      <c r="AM105" s="57"/>
      <c r="AN105" s="58"/>
      <c r="AO105" s="59">
        <v>0.3750000000000005</v>
      </c>
      <c r="AP105" s="60">
        <v>77.034598322234416</v>
      </c>
      <c r="AQ105" s="60">
        <v>76.096847323219066</v>
      </c>
      <c r="AR105" s="60">
        <v>75.078613143533985</v>
      </c>
      <c r="AS105" s="60">
        <v>73.979895783179202</v>
      </c>
      <c r="AT105" s="60">
        <v>72.800695242154688</v>
      </c>
      <c r="AU105" s="60">
        <v>71.541011520460444</v>
      </c>
      <c r="AV105" s="60">
        <v>70.200844618096482</v>
      </c>
      <c r="AW105" s="60">
        <v>68.780194535062819</v>
      </c>
      <c r="AX105" s="60">
        <v>67.279061271359438</v>
      </c>
      <c r="AY105" s="60">
        <v>65.697444826986327</v>
      </c>
      <c r="AZ105" s="60">
        <v>64.0353452019435</v>
      </c>
      <c r="BA105" s="60">
        <v>62.292762396230955</v>
      </c>
      <c r="BB105" s="60">
        <v>60.469696409848694</v>
      </c>
      <c r="BC105" s="60">
        <v>58.56614724279671</v>
      </c>
      <c r="BD105" s="60">
        <v>56.582114895074994</v>
      </c>
      <c r="BE105" s="60">
        <v>54.517599366683626</v>
      </c>
      <c r="BF105" s="60">
        <v>52.372600657622478</v>
      </c>
      <c r="BG105" s="60">
        <v>50.147118767891627</v>
      </c>
      <c r="BH105" s="60">
        <v>47.841153697491045</v>
      </c>
      <c r="BI105" s="60">
        <v>45.45470544642076</v>
      </c>
      <c r="BJ105" s="60">
        <v>42.987774014680745</v>
      </c>
      <c r="BK105" s="60">
        <v>40.44035940227095</v>
      </c>
      <c r="BL105" s="60">
        <v>37.812461609191509</v>
      </c>
      <c r="BM105" s="60">
        <v>35.10408063544233</v>
      </c>
      <c r="BN105" s="60">
        <v>32.315216481023441</v>
      </c>
      <c r="BO105" s="60">
        <v>29.445869145934825</v>
      </c>
      <c r="BP105" s="60">
        <v>26.496038630176507</v>
      </c>
      <c r="BQ105" s="60">
        <v>23.465724933748458</v>
      </c>
      <c r="BR105" s="60">
        <v>20.354928056650692</v>
      </c>
    </row>
    <row r="106" spans="5:70" ht="17" x14ac:dyDescent="0.2">
      <c r="E106" t="s">
        <v>109</v>
      </c>
      <c r="F106" s="24">
        <v>77.034598322234416</v>
      </c>
      <c r="G106" s="24">
        <v>76.096847323219066</v>
      </c>
      <c r="H106" s="24">
        <v>75.078613143533985</v>
      </c>
      <c r="I106" s="24">
        <v>73.979895783179202</v>
      </c>
      <c r="J106" s="24">
        <v>72.800695242154688</v>
      </c>
      <c r="K106" s="24">
        <v>71.541011520460444</v>
      </c>
      <c r="L106" s="24">
        <v>70.200844618096482</v>
      </c>
      <c r="M106" s="24">
        <v>68.780194535062819</v>
      </c>
      <c r="N106" s="24">
        <v>67.279061271359438</v>
      </c>
      <c r="O106" s="24">
        <v>65.697444826986327</v>
      </c>
      <c r="P106" s="24">
        <v>64.0353452019435</v>
      </c>
      <c r="Q106" s="24">
        <v>62.292762396230955</v>
      </c>
      <c r="R106" s="24">
        <v>60.469696409848694</v>
      </c>
      <c r="S106" s="24">
        <v>58.56614724279671</v>
      </c>
      <c r="T106" s="24">
        <v>56.582114895074994</v>
      </c>
      <c r="U106" s="24">
        <v>54.517599366683626</v>
      </c>
      <c r="V106" s="24">
        <v>52.372600657622478</v>
      </c>
      <c r="W106" s="24">
        <v>50.147118767891627</v>
      </c>
      <c r="X106" s="24">
        <v>47.841153697491045</v>
      </c>
      <c r="Y106" s="24">
        <v>45.45470544642076</v>
      </c>
      <c r="Z106" s="24">
        <v>42.987774014680745</v>
      </c>
      <c r="AA106" s="24">
        <v>40.44035940227095</v>
      </c>
      <c r="AB106" s="24">
        <v>37.812461609191509</v>
      </c>
      <c r="AC106" s="24">
        <v>35.10408063544233</v>
      </c>
      <c r="AD106" s="24">
        <v>32.315216481023441</v>
      </c>
      <c r="AE106" s="24">
        <v>29.445869145934825</v>
      </c>
      <c r="AF106" s="24">
        <v>26.496038630176507</v>
      </c>
      <c r="AG106" s="24">
        <v>23.465724933748458</v>
      </c>
      <c r="AH106" s="24">
        <v>20.354928056650692</v>
      </c>
      <c r="AM106" s="57"/>
      <c r="AN106" s="58"/>
      <c r="AO106" s="59">
        <v>0.35000000000000053</v>
      </c>
      <c r="AP106" s="60">
        <v>77.847234558572325</v>
      </c>
      <c r="AQ106" s="60">
        <v>76.829244267313499</v>
      </c>
      <c r="AR106" s="60">
        <v>75.73418523335279</v>
      </c>
      <c r="AS106" s="60">
        <v>74.562057456690155</v>
      </c>
      <c r="AT106" s="60">
        <v>73.31286093732561</v>
      </c>
      <c r="AU106" s="60">
        <v>71.986595675259153</v>
      </c>
      <c r="AV106" s="60">
        <v>70.583261670490799</v>
      </c>
      <c r="AW106" s="60">
        <v>69.10285892302052</v>
      </c>
      <c r="AX106" s="60">
        <v>67.545387432848315</v>
      </c>
      <c r="AY106" s="60">
        <v>65.910847199974214</v>
      </c>
      <c r="AZ106" s="60">
        <v>64.199238224398201</v>
      </c>
      <c r="BA106" s="60">
        <v>62.410560506120277</v>
      </c>
      <c r="BB106" s="60">
        <v>60.544814045140427</v>
      </c>
      <c r="BC106" s="60">
        <v>58.601998841458659</v>
      </c>
      <c r="BD106" s="60">
        <v>56.582114895074994</v>
      </c>
      <c r="BE106" s="60">
        <v>54.485162205989461</v>
      </c>
      <c r="BF106" s="60">
        <v>52.311140774201967</v>
      </c>
      <c r="BG106" s="60">
        <v>50.060050599712568</v>
      </c>
      <c r="BH106" s="60">
        <v>47.731891682521251</v>
      </c>
      <c r="BI106" s="60">
        <v>45.326664022628023</v>
      </c>
      <c r="BJ106" s="60">
        <v>42.844367620032884</v>
      </c>
      <c r="BK106" s="60">
        <v>40.285002474735776</v>
      </c>
      <c r="BL106" s="60">
        <v>37.648568586736808</v>
      </c>
      <c r="BM106" s="60">
        <v>34.935065956035928</v>
      </c>
      <c r="BN106" s="60">
        <v>32.144494582633129</v>
      </c>
      <c r="BO106" s="60">
        <v>29.276854466528423</v>
      </c>
      <c r="BP106" s="60">
        <v>26.332145607721806</v>
      </c>
      <c r="BQ106" s="60">
        <v>23.31036800621327</v>
      </c>
      <c r="BR106" s="60">
        <v>20.211521662002831</v>
      </c>
    </row>
    <row r="107" spans="5:70" ht="17" x14ac:dyDescent="0.2">
      <c r="E107" t="s">
        <v>110</v>
      </c>
      <c r="F107" s="24">
        <v>77.847234558572325</v>
      </c>
      <c r="G107" s="24">
        <v>76.829244267313499</v>
      </c>
      <c r="H107" s="24">
        <v>75.73418523335279</v>
      </c>
      <c r="I107" s="24">
        <v>74.562057456690155</v>
      </c>
      <c r="J107" s="24">
        <v>73.31286093732561</v>
      </c>
      <c r="K107" s="24">
        <v>71.986595675259153</v>
      </c>
      <c r="L107" s="24">
        <v>70.583261670490799</v>
      </c>
      <c r="M107" s="24">
        <v>69.10285892302052</v>
      </c>
      <c r="N107" s="24">
        <v>67.545387432848315</v>
      </c>
      <c r="O107" s="24">
        <v>65.910847199974214</v>
      </c>
      <c r="P107" s="24">
        <v>64.199238224398201</v>
      </c>
      <c r="Q107" s="24">
        <v>62.410560506120277</v>
      </c>
      <c r="R107" s="24">
        <v>60.544814045140427</v>
      </c>
      <c r="S107" s="24">
        <v>58.601998841458659</v>
      </c>
      <c r="T107" s="24">
        <v>56.582114895074994</v>
      </c>
      <c r="U107" s="24">
        <v>54.485162205989461</v>
      </c>
      <c r="V107" s="24">
        <v>52.311140774201967</v>
      </c>
      <c r="W107" s="24">
        <v>50.060050599712568</v>
      </c>
      <c r="X107" s="24">
        <v>47.731891682521251</v>
      </c>
      <c r="Y107" s="24">
        <v>45.326664022628023</v>
      </c>
      <c r="Z107" s="24">
        <v>42.844367620032884</v>
      </c>
      <c r="AA107" s="24">
        <v>40.285002474735776</v>
      </c>
      <c r="AB107" s="24">
        <v>37.648568586736808</v>
      </c>
      <c r="AC107" s="24">
        <v>34.935065956035928</v>
      </c>
      <c r="AD107" s="24">
        <v>32.144494582633129</v>
      </c>
      <c r="AE107" s="24">
        <v>29.276854466528423</v>
      </c>
      <c r="AF107" s="24">
        <v>26.332145607721806</v>
      </c>
      <c r="AG107" s="24">
        <v>23.31036800621327</v>
      </c>
      <c r="AH107" s="24">
        <v>20.211521662002831</v>
      </c>
      <c r="AM107" s="57"/>
      <c r="AN107" s="58"/>
      <c r="AO107" s="59">
        <v>0.32500000000000001</v>
      </c>
      <c r="AP107" s="60">
        <v>78.659870794910219</v>
      </c>
      <c r="AQ107" s="60">
        <v>77.561641211407959</v>
      </c>
      <c r="AR107" s="60">
        <v>76.389757323171594</v>
      </c>
      <c r="AS107" s="60">
        <v>75.144219130201137</v>
      </c>
      <c r="AT107" s="60">
        <v>73.825026632496559</v>
      </c>
      <c r="AU107" s="60">
        <v>72.432179830057876</v>
      </c>
      <c r="AV107" s="60">
        <v>70.965678722885102</v>
      </c>
      <c r="AW107" s="60">
        <v>69.425523310978207</v>
      </c>
      <c r="AX107" s="60">
        <v>67.81171359433722</v>
      </c>
      <c r="AY107" s="60">
        <v>66.124249572962114</v>
      </c>
      <c r="AZ107" s="60">
        <v>64.363131246852902</v>
      </c>
      <c r="BA107" s="60">
        <v>62.528358616009584</v>
      </c>
      <c r="BB107" s="60">
        <v>60.61993168043216</v>
      </c>
      <c r="BC107" s="60">
        <v>58.63785044012063</v>
      </c>
      <c r="BD107" s="60">
        <v>56.582114895074994</v>
      </c>
      <c r="BE107" s="60">
        <v>54.452725045295296</v>
      </c>
      <c r="BF107" s="60">
        <v>52.249680890781455</v>
      </c>
      <c r="BG107" s="60">
        <v>49.972982431533502</v>
      </c>
      <c r="BH107" s="60">
        <v>47.62262966755145</v>
      </c>
      <c r="BI107" s="60">
        <v>45.198622598835279</v>
      </c>
      <c r="BJ107" s="60">
        <v>42.700961225385022</v>
      </c>
      <c r="BK107" s="60">
        <v>40.129645547200589</v>
      </c>
      <c r="BL107" s="60">
        <v>37.484675564282099</v>
      </c>
      <c r="BM107" s="60">
        <v>34.766051276629511</v>
      </c>
      <c r="BN107" s="60">
        <v>31.973772684242817</v>
      </c>
      <c r="BO107" s="60">
        <v>29.107839787122007</v>
      </c>
      <c r="BP107" s="60">
        <v>26.168252585267098</v>
      </c>
      <c r="BQ107" s="60">
        <v>23.155011078678083</v>
      </c>
      <c r="BR107" s="60">
        <v>20.068115267354969</v>
      </c>
    </row>
    <row r="108" spans="5:70" ht="17" x14ac:dyDescent="0.2">
      <c r="E108" t="s">
        <v>111</v>
      </c>
      <c r="F108" s="24">
        <v>78.659870794910219</v>
      </c>
      <c r="G108" s="24">
        <v>77.561641211407959</v>
      </c>
      <c r="H108" s="24">
        <v>76.389757323171594</v>
      </c>
      <c r="I108" s="24">
        <v>75.144219130201137</v>
      </c>
      <c r="J108" s="24">
        <v>73.825026632496559</v>
      </c>
      <c r="K108" s="24">
        <v>72.432179830057876</v>
      </c>
      <c r="L108" s="24">
        <v>70.965678722885102</v>
      </c>
      <c r="M108" s="24">
        <v>69.425523310978207</v>
      </c>
      <c r="N108" s="24">
        <v>67.81171359433722</v>
      </c>
      <c r="O108" s="24">
        <v>66.124249572962114</v>
      </c>
      <c r="P108" s="24">
        <v>64.363131246852902</v>
      </c>
      <c r="Q108" s="24">
        <v>62.528358616009584</v>
      </c>
      <c r="R108" s="24">
        <v>60.61993168043216</v>
      </c>
      <c r="S108" s="24">
        <v>58.63785044012063</v>
      </c>
      <c r="T108" s="24">
        <v>56.582114895074994</v>
      </c>
      <c r="U108" s="24">
        <v>54.452725045295296</v>
      </c>
      <c r="V108" s="24">
        <v>52.249680890781455</v>
      </c>
      <c r="W108" s="24">
        <v>49.972982431533502</v>
      </c>
      <c r="X108" s="24">
        <v>47.62262966755145</v>
      </c>
      <c r="Y108" s="24">
        <v>45.198622598835279</v>
      </c>
      <c r="Z108" s="24">
        <v>42.700961225385022</v>
      </c>
      <c r="AA108" s="24">
        <v>40.129645547200589</v>
      </c>
      <c r="AB108" s="24">
        <v>37.484675564282099</v>
      </c>
      <c r="AC108" s="24">
        <v>34.766051276629511</v>
      </c>
      <c r="AD108" s="24">
        <v>31.973772684242817</v>
      </c>
      <c r="AE108" s="24">
        <v>29.107839787122007</v>
      </c>
      <c r="AF108" s="24">
        <v>26.168252585267098</v>
      </c>
      <c r="AG108" s="24">
        <v>23.155011078678083</v>
      </c>
      <c r="AH108" s="24">
        <v>20.068115267354969</v>
      </c>
      <c r="AM108" s="57"/>
      <c r="AN108" s="58"/>
      <c r="AO108" s="59">
        <v>0.3</v>
      </c>
      <c r="AP108" s="60">
        <v>79.472507031248099</v>
      </c>
      <c r="AQ108" s="60">
        <v>78.294038155502392</v>
      </c>
      <c r="AR108" s="60">
        <v>77.045329412990412</v>
      </c>
      <c r="AS108" s="60">
        <v>75.726380803712104</v>
      </c>
      <c r="AT108" s="60">
        <v>74.337192327667509</v>
      </c>
      <c r="AU108" s="60">
        <v>72.8777639848566</v>
      </c>
      <c r="AV108" s="60">
        <v>71.34809577527939</v>
      </c>
      <c r="AW108" s="60">
        <v>69.748187698935894</v>
      </c>
      <c r="AX108" s="60">
        <v>68.078039755826097</v>
      </c>
      <c r="AY108" s="60">
        <v>66.33765194595</v>
      </c>
      <c r="AZ108" s="60">
        <v>64.527024269307603</v>
      </c>
      <c r="BA108" s="60">
        <v>62.646156725898905</v>
      </c>
      <c r="BB108" s="60">
        <v>60.695049315723892</v>
      </c>
      <c r="BC108" s="60">
        <v>58.673702038782608</v>
      </c>
      <c r="BD108" s="60">
        <v>56.582114895074994</v>
      </c>
      <c r="BE108" s="60">
        <v>54.420287884601137</v>
      </c>
      <c r="BF108" s="60">
        <v>52.188221007360937</v>
      </c>
      <c r="BG108" s="60">
        <v>49.885914263354437</v>
      </c>
      <c r="BH108" s="60">
        <v>47.513367652581643</v>
      </c>
      <c r="BI108" s="60">
        <v>45.070581175042548</v>
      </c>
      <c r="BJ108" s="60">
        <v>42.557554830737161</v>
      </c>
      <c r="BK108" s="60">
        <v>39.974288619665401</v>
      </c>
      <c r="BL108" s="60">
        <v>37.320782541827413</v>
      </c>
      <c r="BM108" s="60">
        <v>34.597036597223102</v>
      </c>
      <c r="BN108" s="60">
        <v>31.803050785852506</v>
      </c>
      <c r="BO108" s="60">
        <v>28.938825107715598</v>
      </c>
      <c r="BP108" s="60">
        <v>26.004359562812397</v>
      </c>
      <c r="BQ108" s="60">
        <v>22.999654151142902</v>
      </c>
      <c r="BR108" s="60">
        <v>19.924708872707104</v>
      </c>
    </row>
    <row r="109" spans="5:70" ht="17" x14ac:dyDescent="0.2">
      <c r="E109" t="s">
        <v>112</v>
      </c>
      <c r="F109" s="24">
        <v>79.472507031248099</v>
      </c>
      <c r="G109" s="24">
        <v>78.294038155502392</v>
      </c>
      <c r="H109" s="24">
        <v>77.045329412990412</v>
      </c>
      <c r="I109" s="24">
        <v>75.726380803712104</v>
      </c>
      <c r="J109" s="24">
        <v>74.337192327667509</v>
      </c>
      <c r="K109" s="24">
        <v>72.8777639848566</v>
      </c>
      <c r="L109" s="24">
        <v>71.34809577527939</v>
      </c>
      <c r="M109" s="24">
        <v>69.748187698935894</v>
      </c>
      <c r="N109" s="24">
        <v>68.078039755826097</v>
      </c>
      <c r="O109" s="24">
        <v>66.33765194595</v>
      </c>
      <c r="P109" s="24">
        <v>64.527024269307603</v>
      </c>
      <c r="Q109" s="24">
        <v>62.646156725898905</v>
      </c>
      <c r="R109" s="24">
        <v>60.695049315723892</v>
      </c>
      <c r="S109" s="24">
        <v>58.673702038782608</v>
      </c>
      <c r="T109" s="24">
        <v>56.582114895074994</v>
      </c>
      <c r="U109" s="24">
        <v>54.420287884601137</v>
      </c>
      <c r="V109" s="24">
        <v>52.188221007360937</v>
      </c>
      <c r="W109" s="24">
        <v>49.885914263354437</v>
      </c>
      <c r="X109" s="24">
        <v>47.513367652581643</v>
      </c>
      <c r="Y109" s="24">
        <v>45.070581175042548</v>
      </c>
      <c r="Z109" s="24">
        <v>42.557554830737161</v>
      </c>
      <c r="AA109" s="24">
        <v>39.974288619665401</v>
      </c>
      <c r="AB109" s="24">
        <v>37.320782541827413</v>
      </c>
      <c r="AC109" s="24">
        <v>34.597036597223102</v>
      </c>
      <c r="AD109" s="24">
        <v>31.803050785852506</v>
      </c>
      <c r="AE109" s="24">
        <v>28.938825107715598</v>
      </c>
      <c r="AF109" s="24">
        <v>26.004359562812397</v>
      </c>
      <c r="AG109" s="24">
        <v>22.999654151142902</v>
      </c>
      <c r="AH109" s="24">
        <v>19.924708872707104</v>
      </c>
      <c r="AM109" s="57"/>
      <c r="AN109" s="58"/>
      <c r="AO109" s="59">
        <v>0.27500000000000002</v>
      </c>
      <c r="AP109" s="60">
        <v>80.285143267585994</v>
      </c>
      <c r="AQ109" s="60">
        <v>79.026435099596839</v>
      </c>
      <c r="AR109" s="60">
        <v>77.700901502809202</v>
      </c>
      <c r="AS109" s="60">
        <v>76.308542477223071</v>
      </c>
      <c r="AT109" s="60">
        <v>74.849358022838445</v>
      </c>
      <c r="AU109" s="60">
        <v>73.323348139655323</v>
      </c>
      <c r="AV109" s="60">
        <v>71.730512827673692</v>
      </c>
      <c r="AW109" s="60">
        <v>70.070852086893595</v>
      </c>
      <c r="AX109" s="60">
        <v>68.344365917314988</v>
      </c>
      <c r="AY109" s="60">
        <v>66.551054318937886</v>
      </c>
      <c r="AZ109" s="60">
        <v>64.690917291762304</v>
      </c>
      <c r="BA109" s="60">
        <v>62.763954835788212</v>
      </c>
      <c r="BB109" s="60">
        <v>60.770166951015639</v>
      </c>
      <c r="BC109" s="60">
        <v>58.709553637444571</v>
      </c>
      <c r="BD109" s="60">
        <v>56.582114895074994</v>
      </c>
      <c r="BE109" s="60">
        <v>54.387850723906986</v>
      </c>
      <c r="BF109" s="60">
        <v>52.126761123940433</v>
      </c>
      <c r="BG109" s="60">
        <v>49.798846095175392</v>
      </c>
      <c r="BH109" s="60">
        <v>47.404105637611842</v>
      </c>
      <c r="BI109" s="60">
        <v>44.942539751249804</v>
      </c>
      <c r="BJ109" s="60">
        <v>42.414148436089292</v>
      </c>
      <c r="BK109" s="60">
        <v>39.818931692130221</v>
      </c>
      <c r="BL109" s="60">
        <v>37.156889519372704</v>
      </c>
      <c r="BM109" s="60">
        <v>34.428021917816693</v>
      </c>
      <c r="BN109" s="60">
        <v>31.632328887462187</v>
      </c>
      <c r="BO109" s="60">
        <v>28.769810428309189</v>
      </c>
      <c r="BP109" s="60">
        <v>25.840466540357699</v>
      </c>
      <c r="BQ109" s="60">
        <v>22.844297223607715</v>
      </c>
      <c r="BR109" s="60">
        <v>19.781302478059239</v>
      </c>
    </row>
    <row r="110" spans="5:70" ht="17" x14ac:dyDescent="0.2">
      <c r="E110" t="s">
        <v>113</v>
      </c>
      <c r="F110" s="24">
        <v>80.285143267585994</v>
      </c>
      <c r="G110" s="24">
        <v>79.026435099596839</v>
      </c>
      <c r="H110" s="24">
        <v>77.700901502809202</v>
      </c>
      <c r="I110" s="24">
        <v>76.308542477223071</v>
      </c>
      <c r="J110" s="24">
        <v>74.849358022838445</v>
      </c>
      <c r="K110" s="24">
        <v>73.323348139655323</v>
      </c>
      <c r="L110" s="24">
        <v>71.730512827673692</v>
      </c>
      <c r="M110" s="24">
        <v>70.070852086893595</v>
      </c>
      <c r="N110" s="24">
        <v>68.344365917314988</v>
      </c>
      <c r="O110" s="24">
        <v>66.551054318937886</v>
      </c>
      <c r="P110" s="24">
        <v>64.690917291762304</v>
      </c>
      <c r="Q110" s="24">
        <v>62.763954835788212</v>
      </c>
      <c r="R110" s="24">
        <v>60.770166951015639</v>
      </c>
      <c r="S110" s="24">
        <v>58.709553637444571</v>
      </c>
      <c r="T110" s="24">
        <v>56.582114895074994</v>
      </c>
      <c r="U110" s="24">
        <v>54.387850723906986</v>
      </c>
      <c r="V110" s="24">
        <v>52.126761123940433</v>
      </c>
      <c r="W110" s="24">
        <v>49.798846095175392</v>
      </c>
      <c r="X110" s="24">
        <v>47.404105637611842</v>
      </c>
      <c r="Y110" s="24">
        <v>44.942539751249804</v>
      </c>
      <c r="Z110" s="24">
        <v>42.414148436089292</v>
      </c>
      <c r="AA110" s="24">
        <v>39.818931692130221</v>
      </c>
      <c r="AB110" s="24">
        <v>37.156889519372704</v>
      </c>
      <c r="AC110" s="24">
        <v>34.428021917816693</v>
      </c>
      <c r="AD110" s="24">
        <v>31.632328887462187</v>
      </c>
      <c r="AE110" s="24">
        <v>28.769810428309189</v>
      </c>
      <c r="AF110" s="24">
        <v>25.840466540357699</v>
      </c>
      <c r="AG110" s="24">
        <v>22.844297223607715</v>
      </c>
      <c r="AH110" s="24">
        <v>19.781302478059239</v>
      </c>
      <c r="AM110" s="57"/>
      <c r="AN110" s="58"/>
      <c r="AO110" s="59">
        <v>0.25</v>
      </c>
      <c r="AP110" s="60">
        <v>81.097779503923874</v>
      </c>
      <c r="AQ110" s="60">
        <v>79.758832043691285</v>
      </c>
      <c r="AR110" s="60">
        <v>78.356473592627992</v>
      </c>
      <c r="AS110" s="60">
        <v>76.890704150734024</v>
      </c>
      <c r="AT110" s="60">
        <v>75.36152371800938</v>
      </c>
      <c r="AU110" s="60">
        <v>73.768932294454032</v>
      </c>
      <c r="AV110" s="60">
        <v>72.112929880067995</v>
      </c>
      <c r="AW110" s="60">
        <v>70.393516474851282</v>
      </c>
      <c r="AX110" s="60">
        <v>68.610692078803879</v>
      </c>
      <c r="AY110" s="60">
        <v>66.764456691925773</v>
      </c>
      <c r="AZ110" s="60">
        <v>64.854810314217005</v>
      </c>
      <c r="BA110" s="60">
        <v>62.881752945677533</v>
      </c>
      <c r="BB110" s="60">
        <v>60.845284586307379</v>
      </c>
      <c r="BC110" s="60">
        <v>58.745405236106528</v>
      </c>
      <c r="BD110" s="60">
        <v>56.582114895074994</v>
      </c>
      <c r="BE110" s="60">
        <v>54.355413563212821</v>
      </c>
      <c r="BF110" s="60">
        <v>52.065301240519915</v>
      </c>
      <c r="BG110" s="60">
        <v>49.711777926996326</v>
      </c>
      <c r="BH110" s="60">
        <v>47.294843622642041</v>
      </c>
      <c r="BI110" s="60">
        <v>44.814498327457073</v>
      </c>
      <c r="BJ110" s="60">
        <v>42.27074204144143</v>
      </c>
      <c r="BK110" s="60">
        <v>39.66357476459504</v>
      </c>
      <c r="BL110" s="60">
        <v>36.992996496918003</v>
      </c>
      <c r="BM110" s="60">
        <v>34.259007238410291</v>
      </c>
      <c r="BN110" s="60">
        <v>31.461606989071875</v>
      </c>
      <c r="BO110" s="60">
        <v>28.60079574890278</v>
      </c>
      <c r="BP110" s="60">
        <v>25.676573517903002</v>
      </c>
      <c r="BQ110" s="60">
        <v>22.688940296072534</v>
      </c>
      <c r="BR110" s="60">
        <v>19.63789608341138</v>
      </c>
    </row>
    <row r="111" spans="5:70" ht="17" x14ac:dyDescent="0.2">
      <c r="E111" t="s">
        <v>114</v>
      </c>
      <c r="F111" s="24">
        <v>81.097779503923874</v>
      </c>
      <c r="G111" s="24">
        <v>79.758832043691285</v>
      </c>
      <c r="H111" s="24">
        <v>78.356473592627992</v>
      </c>
      <c r="I111" s="24">
        <v>76.890704150734024</v>
      </c>
      <c r="J111" s="24">
        <v>75.36152371800938</v>
      </c>
      <c r="K111" s="24">
        <v>73.768932294454032</v>
      </c>
      <c r="L111" s="24">
        <v>72.112929880067995</v>
      </c>
      <c r="M111" s="24">
        <v>70.393516474851282</v>
      </c>
      <c r="N111" s="24">
        <v>68.610692078803879</v>
      </c>
      <c r="O111" s="24">
        <v>66.764456691925773</v>
      </c>
      <c r="P111" s="24">
        <v>64.854810314217005</v>
      </c>
      <c r="Q111" s="24">
        <v>62.881752945677533</v>
      </c>
      <c r="R111" s="24">
        <v>60.845284586307379</v>
      </c>
      <c r="S111" s="24">
        <v>58.745405236106528</v>
      </c>
      <c r="T111" s="24">
        <v>56.582114895074994</v>
      </c>
      <c r="U111" s="24">
        <v>54.355413563212821</v>
      </c>
      <c r="V111" s="24">
        <v>52.065301240519915</v>
      </c>
      <c r="W111" s="24">
        <v>49.711777926996326</v>
      </c>
      <c r="X111" s="24">
        <v>47.294843622642041</v>
      </c>
      <c r="Y111" s="24">
        <v>44.814498327457073</v>
      </c>
      <c r="Z111" s="24">
        <v>42.27074204144143</v>
      </c>
      <c r="AA111" s="24">
        <v>39.66357476459504</v>
      </c>
      <c r="AB111" s="24">
        <v>36.992996496918003</v>
      </c>
      <c r="AC111" s="24">
        <v>34.259007238410291</v>
      </c>
      <c r="AD111" s="24">
        <v>31.461606989071875</v>
      </c>
      <c r="AE111" s="24">
        <v>28.60079574890278</v>
      </c>
      <c r="AF111" s="24">
        <v>25.676573517903002</v>
      </c>
      <c r="AG111" s="24">
        <v>22.688940296072534</v>
      </c>
      <c r="AH111" s="24">
        <v>19.63789608341138</v>
      </c>
      <c r="AM111" s="57"/>
      <c r="AN111" s="58"/>
      <c r="AO111" s="59">
        <v>0.22499999999999998</v>
      </c>
      <c r="AP111" s="60">
        <v>81.910415740261783</v>
      </c>
      <c r="AQ111" s="60">
        <v>80.491228987785718</v>
      </c>
      <c r="AR111" s="60">
        <v>79.012045682446796</v>
      </c>
      <c r="AS111" s="60">
        <v>77.472865824244991</v>
      </c>
      <c r="AT111" s="60">
        <v>75.873689413180315</v>
      </c>
      <c r="AU111" s="60">
        <v>74.214516449252741</v>
      </c>
      <c r="AV111" s="60">
        <v>72.495346932462297</v>
      </c>
      <c r="AW111" s="60">
        <v>70.716180862808983</v>
      </c>
      <c r="AX111" s="60">
        <v>68.877018240292756</v>
      </c>
      <c r="AY111" s="60">
        <v>66.977859064913673</v>
      </c>
      <c r="AZ111" s="60">
        <v>65.018703336671706</v>
      </c>
      <c r="BA111" s="60">
        <v>62.999551055566847</v>
      </c>
      <c r="BB111" s="60">
        <v>60.920402221599112</v>
      </c>
      <c r="BC111" s="60">
        <v>58.781256834768499</v>
      </c>
      <c r="BD111" s="60">
        <v>56.582114895074994</v>
      </c>
      <c r="BE111" s="60">
        <v>54.322976402518663</v>
      </c>
      <c r="BF111" s="60">
        <v>52.003841357099404</v>
      </c>
      <c r="BG111" s="60">
        <v>49.624709758817268</v>
      </c>
      <c r="BH111" s="60">
        <v>47.185581607672241</v>
      </c>
      <c r="BI111" s="60">
        <v>44.686456903664343</v>
      </c>
      <c r="BJ111" s="60">
        <v>42.127335646793568</v>
      </c>
      <c r="BK111" s="60">
        <v>39.508217837059853</v>
      </c>
      <c r="BL111" s="60">
        <v>36.829103474463302</v>
      </c>
      <c r="BM111" s="60">
        <v>34.089992559003875</v>
      </c>
      <c r="BN111" s="60">
        <v>31.290885090681567</v>
      </c>
      <c r="BO111" s="60">
        <v>28.43178106949637</v>
      </c>
      <c r="BP111" s="60">
        <v>25.512680495448301</v>
      </c>
      <c r="BQ111" s="60">
        <v>22.533583368537347</v>
      </c>
      <c r="BR111" s="60">
        <v>19.494489688763515</v>
      </c>
    </row>
    <row r="112" spans="5:70" ht="17" x14ac:dyDescent="0.2">
      <c r="E112" t="s">
        <v>115</v>
      </c>
      <c r="F112" s="24">
        <v>81.910415740261783</v>
      </c>
      <c r="G112" s="24">
        <v>80.491228987785718</v>
      </c>
      <c r="H112" s="24">
        <v>79.012045682446796</v>
      </c>
      <c r="I112" s="24">
        <v>77.472865824244991</v>
      </c>
      <c r="J112" s="24">
        <v>75.873689413180315</v>
      </c>
      <c r="K112" s="24">
        <v>74.214516449252741</v>
      </c>
      <c r="L112" s="24">
        <v>72.495346932462297</v>
      </c>
      <c r="M112" s="24">
        <v>70.716180862808983</v>
      </c>
      <c r="N112" s="24">
        <v>68.877018240292756</v>
      </c>
      <c r="O112" s="24">
        <v>66.977859064913673</v>
      </c>
      <c r="P112" s="24">
        <v>65.018703336671706</v>
      </c>
      <c r="Q112" s="24">
        <v>62.999551055566847</v>
      </c>
      <c r="R112" s="24">
        <v>60.920402221599112</v>
      </c>
      <c r="S112" s="24">
        <v>58.781256834768499</v>
      </c>
      <c r="T112" s="24">
        <v>56.582114895074994</v>
      </c>
      <c r="U112" s="24">
        <v>54.322976402518663</v>
      </c>
      <c r="V112" s="24">
        <v>52.003841357099404</v>
      </c>
      <c r="W112" s="24">
        <v>49.624709758817268</v>
      </c>
      <c r="X112" s="24">
        <v>47.185581607672241</v>
      </c>
      <c r="Y112" s="24">
        <v>44.686456903664343</v>
      </c>
      <c r="Z112" s="24">
        <v>42.127335646793568</v>
      </c>
      <c r="AA112" s="24">
        <v>39.508217837059853</v>
      </c>
      <c r="AB112" s="24">
        <v>36.829103474463302</v>
      </c>
      <c r="AC112" s="24">
        <v>34.089992559003875</v>
      </c>
      <c r="AD112" s="24">
        <v>31.290885090681567</v>
      </c>
      <c r="AE112" s="24">
        <v>28.43178106949637</v>
      </c>
      <c r="AF112" s="24">
        <v>25.512680495448301</v>
      </c>
      <c r="AG112" s="24">
        <v>22.533583368537347</v>
      </c>
      <c r="AH112" s="24">
        <v>19.494489688763515</v>
      </c>
      <c r="AM112" s="57"/>
      <c r="AN112" s="58"/>
      <c r="AO112" s="59">
        <v>0.2</v>
      </c>
      <c r="AP112" s="60">
        <v>82.723051976599663</v>
      </c>
      <c r="AQ112" s="60">
        <v>81.223625931880164</v>
      </c>
      <c r="AR112" s="60">
        <v>79.667617772265601</v>
      </c>
      <c r="AS112" s="60">
        <v>78.055027497755972</v>
      </c>
      <c r="AT112" s="60">
        <v>76.385855108351251</v>
      </c>
      <c r="AU112" s="60">
        <v>74.660100604051465</v>
      </c>
      <c r="AV112" s="60">
        <v>72.877763984856585</v>
      </c>
      <c r="AW112" s="60">
        <v>71.038845250766656</v>
      </c>
      <c r="AX112" s="60">
        <v>69.143344401781647</v>
      </c>
      <c r="AY112" s="60">
        <v>67.191261437901559</v>
      </c>
      <c r="AZ112" s="60">
        <v>65.182596359126393</v>
      </c>
      <c r="BA112" s="60">
        <v>63.117349165456154</v>
      </c>
      <c r="BB112" s="60">
        <v>60.995519856890851</v>
      </c>
      <c r="BC112" s="60">
        <v>58.817108433430469</v>
      </c>
      <c r="BD112" s="60">
        <v>56.582114895074994</v>
      </c>
      <c r="BE112" s="60">
        <v>54.290539241824504</v>
      </c>
      <c r="BF112" s="60">
        <v>51.9423814736789</v>
      </c>
      <c r="BG112" s="60">
        <v>49.537641590638209</v>
      </c>
      <c r="BH112" s="60">
        <v>47.076319592702454</v>
      </c>
      <c r="BI112" s="60">
        <v>44.558415479871613</v>
      </c>
      <c r="BJ112" s="60">
        <v>41.983929252145707</v>
      </c>
      <c r="BK112" s="60">
        <v>39.352860909524665</v>
      </c>
      <c r="BL112" s="60">
        <v>36.665210452008608</v>
      </c>
      <c r="BM112" s="60">
        <v>33.920977879597473</v>
      </c>
      <c r="BN112" s="60">
        <v>31.120163192291251</v>
      </c>
      <c r="BO112" s="60">
        <v>28.262766390089958</v>
      </c>
      <c r="BP112" s="60">
        <v>25.348787472993603</v>
      </c>
      <c r="BQ112" s="60">
        <v>22.378226441002159</v>
      </c>
      <c r="BR112" s="60">
        <v>19.351083294115654</v>
      </c>
    </row>
    <row r="113" spans="5:70" ht="17" x14ac:dyDescent="0.2">
      <c r="E113" t="s">
        <v>116</v>
      </c>
      <c r="F113" s="24">
        <v>82.723051976599663</v>
      </c>
      <c r="G113" s="24">
        <v>81.223625931880164</v>
      </c>
      <c r="H113" s="24">
        <v>79.667617772265601</v>
      </c>
      <c r="I113" s="24">
        <v>78.055027497755972</v>
      </c>
      <c r="J113" s="24">
        <v>76.385855108351251</v>
      </c>
      <c r="K113" s="24">
        <v>74.660100604051465</v>
      </c>
      <c r="L113" s="24">
        <v>72.877763984856585</v>
      </c>
      <c r="M113" s="24">
        <v>71.038845250766656</v>
      </c>
      <c r="N113" s="24">
        <v>69.143344401781647</v>
      </c>
      <c r="O113" s="24">
        <v>67.191261437901559</v>
      </c>
      <c r="P113" s="24">
        <v>65.182596359126393</v>
      </c>
      <c r="Q113" s="24">
        <v>63.117349165456154</v>
      </c>
      <c r="R113" s="24">
        <v>60.995519856890851</v>
      </c>
      <c r="S113" s="24">
        <v>58.817108433430469</v>
      </c>
      <c r="T113" s="24">
        <v>56.582114895074994</v>
      </c>
      <c r="U113" s="24">
        <v>54.290539241824504</v>
      </c>
      <c r="V113" s="24">
        <v>51.9423814736789</v>
      </c>
      <c r="W113" s="24">
        <v>49.537641590638209</v>
      </c>
      <c r="X113" s="24">
        <v>47.076319592702454</v>
      </c>
      <c r="Y113" s="24">
        <v>44.558415479871613</v>
      </c>
      <c r="Z113" s="24">
        <v>41.983929252145707</v>
      </c>
      <c r="AA113" s="24">
        <v>39.352860909524665</v>
      </c>
      <c r="AB113" s="24">
        <v>36.665210452008608</v>
      </c>
      <c r="AC113" s="24">
        <v>33.920977879597473</v>
      </c>
      <c r="AD113" s="24">
        <v>31.120163192291251</v>
      </c>
      <c r="AE113" s="24">
        <v>28.262766390089958</v>
      </c>
      <c r="AF113" s="24">
        <v>25.348787472993603</v>
      </c>
      <c r="AG113" s="24">
        <v>22.378226441002159</v>
      </c>
      <c r="AH113" s="24">
        <v>19.351083294115654</v>
      </c>
      <c r="AM113" s="57"/>
      <c r="AN113" s="58"/>
      <c r="AO113" s="59">
        <v>0.17499999999999999</v>
      </c>
      <c r="AP113" s="60">
        <v>83.535688212937544</v>
      </c>
      <c r="AQ113" s="60">
        <v>81.956022875974583</v>
      </c>
      <c r="AR113" s="60">
        <v>80.323189862084405</v>
      </c>
      <c r="AS113" s="60">
        <v>78.63718917126694</v>
      </c>
      <c r="AT113" s="60">
        <v>76.898020803522186</v>
      </c>
      <c r="AU113" s="60">
        <v>75.105684758850188</v>
      </c>
      <c r="AV113" s="60">
        <v>73.260181037250888</v>
      </c>
      <c r="AW113" s="60">
        <v>71.361509638724357</v>
      </c>
      <c r="AX113" s="60">
        <v>69.409670563270538</v>
      </c>
      <c r="AY113" s="60">
        <v>67.404663810889446</v>
      </c>
      <c r="AZ113" s="60">
        <v>65.346489381581108</v>
      </c>
      <c r="BA113" s="60">
        <v>63.235147275345483</v>
      </c>
      <c r="BB113" s="60">
        <v>61.070637492182591</v>
      </c>
      <c r="BC113" s="60">
        <v>58.852960032092426</v>
      </c>
      <c r="BD113" s="60">
        <v>56.582114895074994</v>
      </c>
      <c r="BE113" s="60">
        <v>54.258102081130346</v>
      </c>
      <c r="BF113" s="60">
        <v>51.880921590258382</v>
      </c>
      <c r="BG113" s="60">
        <v>49.450573422459144</v>
      </c>
      <c r="BH113" s="60">
        <v>46.967057577732653</v>
      </c>
      <c r="BI113" s="60">
        <v>44.430374056078875</v>
      </c>
      <c r="BJ113" s="60">
        <v>41.840522857497845</v>
      </c>
      <c r="BK113" s="60">
        <v>39.197503981989485</v>
      </c>
      <c r="BL113" s="60">
        <v>36.5013174295539</v>
      </c>
      <c r="BM113" s="60">
        <v>33.751963200191049</v>
      </c>
      <c r="BN113" s="60">
        <v>30.949441293900939</v>
      </c>
      <c r="BO113" s="60">
        <v>28.093751710683549</v>
      </c>
      <c r="BP113" s="60">
        <v>25.184894450538902</v>
      </c>
      <c r="BQ113" s="60">
        <v>22.222869513466978</v>
      </c>
      <c r="BR113" s="60">
        <v>19.207676899467792</v>
      </c>
    </row>
    <row r="114" spans="5:70" ht="17" x14ac:dyDescent="0.2">
      <c r="E114" t="s">
        <v>117</v>
      </c>
      <c r="F114" s="24">
        <v>83.535688212937544</v>
      </c>
      <c r="G114" s="24">
        <v>81.956022875974583</v>
      </c>
      <c r="H114" s="24">
        <v>80.323189862084405</v>
      </c>
      <c r="I114" s="24">
        <v>78.63718917126694</v>
      </c>
      <c r="J114" s="24">
        <v>76.898020803522186</v>
      </c>
      <c r="K114" s="24">
        <v>75.105684758850188</v>
      </c>
      <c r="L114" s="24">
        <v>73.260181037250888</v>
      </c>
      <c r="M114" s="24">
        <v>71.361509638724357</v>
      </c>
      <c r="N114" s="24">
        <v>69.409670563270538</v>
      </c>
      <c r="O114" s="24">
        <v>67.404663810889446</v>
      </c>
      <c r="P114" s="24">
        <v>65.346489381581108</v>
      </c>
      <c r="Q114" s="24">
        <v>63.235147275345483</v>
      </c>
      <c r="R114" s="24">
        <v>61.070637492182591</v>
      </c>
      <c r="S114" s="24">
        <v>58.852960032092426</v>
      </c>
      <c r="T114" s="24">
        <v>56.582114895074994</v>
      </c>
      <c r="U114" s="24">
        <v>54.258102081130346</v>
      </c>
      <c r="V114" s="24">
        <v>51.880921590258382</v>
      </c>
      <c r="W114" s="24">
        <v>49.450573422459144</v>
      </c>
      <c r="X114" s="24">
        <v>46.967057577732653</v>
      </c>
      <c r="Y114" s="24">
        <v>44.430374056078875</v>
      </c>
      <c r="Z114" s="24">
        <v>41.840522857497845</v>
      </c>
      <c r="AA114" s="24">
        <v>39.197503981989485</v>
      </c>
      <c r="AB114" s="24">
        <v>36.5013174295539</v>
      </c>
      <c r="AC114" s="24">
        <v>33.751963200191049</v>
      </c>
      <c r="AD114" s="24">
        <v>30.949441293900939</v>
      </c>
      <c r="AE114" s="24">
        <v>28.093751710683549</v>
      </c>
      <c r="AF114" s="24">
        <v>25.184894450538902</v>
      </c>
      <c r="AG114" s="24">
        <v>22.222869513466978</v>
      </c>
      <c r="AH114" s="24">
        <v>19.207676899467792</v>
      </c>
      <c r="AM114" s="57"/>
      <c r="AN114" s="58"/>
      <c r="AO114" s="59">
        <v>0.15000000000000002</v>
      </c>
      <c r="AP114" s="60">
        <v>84.348324449275424</v>
      </c>
      <c r="AQ114" s="60">
        <v>82.688419820069043</v>
      </c>
      <c r="AR114" s="60">
        <v>80.978761951903209</v>
      </c>
      <c r="AS114" s="60">
        <v>79.219350844777892</v>
      </c>
      <c r="AT114" s="60">
        <v>77.410186498693122</v>
      </c>
      <c r="AU114" s="60">
        <v>75.551268913648897</v>
      </c>
      <c r="AV114" s="60">
        <v>73.64259808964519</v>
      </c>
      <c r="AW114" s="60">
        <v>71.684174026682044</v>
      </c>
      <c r="AX114" s="60">
        <v>69.675996724759429</v>
      </c>
      <c r="AY114" s="60">
        <v>67.618066183877346</v>
      </c>
      <c r="AZ114" s="60">
        <v>65.510382404035809</v>
      </c>
      <c r="BA114" s="60">
        <v>63.35294538523479</v>
      </c>
      <c r="BB114" s="60">
        <v>61.145755127474324</v>
      </c>
      <c r="BC114" s="60">
        <v>58.88881163075439</v>
      </c>
      <c r="BD114" s="60">
        <v>56.582114895074994</v>
      </c>
      <c r="BE114" s="60">
        <v>54.225664920436188</v>
      </c>
      <c r="BF114" s="60">
        <v>51.819461706837878</v>
      </c>
      <c r="BG114" s="60">
        <v>49.363505254280092</v>
      </c>
      <c r="BH114" s="60">
        <v>46.857795562762838</v>
      </c>
      <c r="BI114" s="60">
        <v>44.302332632286145</v>
      </c>
      <c r="BJ114" s="60">
        <v>41.697116462849991</v>
      </c>
      <c r="BK114" s="60">
        <v>39.042147054454297</v>
      </c>
      <c r="BL114" s="60">
        <v>36.337424407099199</v>
      </c>
      <c r="BM114" s="60">
        <v>33.582948520784647</v>
      </c>
      <c r="BN114" s="60">
        <v>30.778719395510624</v>
      </c>
      <c r="BO114" s="60">
        <v>27.924737031277139</v>
      </c>
      <c r="BP114" s="60">
        <v>25.021001428084197</v>
      </c>
      <c r="BQ114" s="60">
        <v>22.067512585931794</v>
      </c>
      <c r="BR114" s="60">
        <v>19.064270504819927</v>
      </c>
    </row>
    <row r="115" spans="5:70" x14ac:dyDescent="0.2">
      <c r="E115" t="s">
        <v>118</v>
      </c>
      <c r="F115" s="24">
        <v>84.348324449275424</v>
      </c>
      <c r="G115" s="24">
        <v>82.688419820069043</v>
      </c>
      <c r="H115" s="24">
        <v>80.978761951903209</v>
      </c>
      <c r="I115" s="24">
        <v>79.219350844777892</v>
      </c>
      <c r="J115" s="24">
        <v>77.410186498693122</v>
      </c>
      <c r="K115" s="24">
        <v>75.551268913648897</v>
      </c>
      <c r="L115" s="24">
        <v>73.64259808964519</v>
      </c>
      <c r="M115" s="24">
        <v>71.684174026682044</v>
      </c>
      <c r="N115" s="24">
        <v>69.675996724759429</v>
      </c>
      <c r="O115" s="24">
        <v>67.618066183877346</v>
      </c>
      <c r="P115" s="24">
        <v>65.510382404035809</v>
      </c>
      <c r="Q115" s="24">
        <v>63.35294538523479</v>
      </c>
      <c r="R115" s="24">
        <v>61.145755127474324</v>
      </c>
      <c r="S115" s="24">
        <v>58.88881163075439</v>
      </c>
      <c r="T115" s="24">
        <v>56.582114895074994</v>
      </c>
      <c r="U115" s="24">
        <v>54.225664920436188</v>
      </c>
      <c r="V115" s="24">
        <v>51.819461706837878</v>
      </c>
      <c r="W115" s="24">
        <v>49.363505254280092</v>
      </c>
      <c r="X115" s="24">
        <v>46.857795562762838</v>
      </c>
      <c r="Y115" s="24">
        <v>44.302332632286145</v>
      </c>
      <c r="Z115" s="24">
        <v>41.697116462849991</v>
      </c>
      <c r="AA115" s="24">
        <v>39.042147054454297</v>
      </c>
      <c r="AB115" s="24">
        <v>36.337424407099199</v>
      </c>
      <c r="AC115" s="24">
        <v>33.582948520784647</v>
      </c>
      <c r="AD115" s="24">
        <v>30.778719395510624</v>
      </c>
      <c r="AE115" s="24">
        <v>27.924737031277139</v>
      </c>
      <c r="AF115" s="24">
        <v>25.021001428084197</v>
      </c>
      <c r="AG115" s="24">
        <v>22.067512585931794</v>
      </c>
      <c r="AH115" s="24">
        <v>19.064270504819927</v>
      </c>
    </row>
  </sheetData>
  <mergeCells count="5">
    <mergeCell ref="E5:K5"/>
    <mergeCell ref="N5:T5"/>
    <mergeCell ref="AP82:BR84"/>
    <mergeCell ref="AM86:AN114"/>
    <mergeCell ref="AM82:AO85"/>
  </mergeCells>
  <phoneticPr fontId="10" type="noConversion"/>
  <conditionalFormatting sqref="F87:AH115">
    <cfRule type="colorScale" priority="2">
      <colorScale>
        <cfvo type="min"/>
        <cfvo type="max"/>
        <color theme="0"/>
        <color theme="3"/>
      </colorScale>
    </cfRule>
  </conditionalFormatting>
  <conditionalFormatting sqref="AP86:BR114">
    <cfRule type="colorScale" priority="1">
      <colorScale>
        <cfvo type="min"/>
        <cfvo type="max"/>
        <color theme="0"/>
        <color theme="3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G市收费公路估值</vt:lpstr>
      <vt:lpstr>G市收费公路估值_价格-车流量调整模型</vt:lpstr>
      <vt:lpstr>G市收费公路估值_价格-车流量调整模型 - 临界点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 陈</cp:lastModifiedBy>
  <dcterms:created xsi:type="dcterms:W3CDTF">2026-03-18T01:31:38Z</dcterms:created>
  <dcterms:modified xsi:type="dcterms:W3CDTF">2026-04-06T10:44:10Z</dcterms:modified>
</cp:coreProperties>
</file>